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t Backlog" sheetId="2" state="visible" r:id="rId2"/>
    <sheet name="Materiales LUTSA" sheetId="3" state="visible" r:id="rId3"/>
    <sheet name="Cómo usar" sheetId="4" state="visible" r:id="rId4"/>
  </sheets>
  <definedNames>
    <definedName name="_xlnm._FilterDatabase" localSheetId="1" hidden="1">'Product Backlog'!$A$4:$J$51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name val="Calibri"/>
      <b val="1"/>
      <color rgb="00FFFFFF"/>
      <sz val="11"/>
    </font>
    <font>
      <b val="1"/>
    </font>
    <font>
      <name val="Consolas"/>
      <sz val="11"/>
    </font>
    <font>
      <b val="1"/>
      <color rgb="00121874"/>
      <sz val="12"/>
    </font>
    <font>
      <b val="1"/>
      <sz val="12"/>
    </font>
    <font>
      <b val="1"/>
      <color rgb="00121874"/>
      <sz val="13"/>
    </font>
    <font>
      <b val="1"/>
      <color rgb="00F47621"/>
      <sz val="20"/>
    </font>
    <font>
      <name val="Consolas"/>
      <sz val="14"/>
    </font>
    <font>
      <b val="1"/>
      <color rgb="00121874"/>
    </font>
    <font>
      <b val="1"/>
      <color rgb="001F3FBF"/>
    </font>
    <font>
      <b val="1"/>
      <color rgb="005B8DEF"/>
    </font>
    <font>
      <b val="1"/>
      <color rgb="00F9A25B"/>
    </font>
    <font>
      <b val="1"/>
      <color rgb="00E85D04"/>
    </font>
  </fonts>
  <fills count="6">
    <fill>
      <patternFill/>
    </fill>
    <fill>
      <patternFill patternType="gray125"/>
    </fill>
    <fill>
      <patternFill patternType="solid">
        <fgColor rgb="001B2FA8"/>
      </patternFill>
    </fill>
    <fill>
      <patternFill patternType="solid">
        <fgColor rgb="00F47621"/>
      </patternFill>
    </fill>
    <fill>
      <patternFill patternType="solid">
        <fgColor rgb="00121874"/>
      </patternFill>
    </fill>
    <fill>
      <patternFill patternType="solid">
        <fgColor rgb="00F3F5FB"/>
      </patternFill>
    </fill>
  </fills>
  <borders count="2">
    <border>
      <left/>
      <right/>
      <top/>
      <bottom/>
      <diagonal/>
    </border>
    <border>
      <left style="thin">
        <color rgb="00D9DEEC"/>
      </left>
      <right style="thin">
        <color rgb="00D9DEEC"/>
      </right>
      <top style="thin">
        <color rgb="00D9DEEC"/>
      </top>
      <bottom style="thin">
        <color rgb="00D9DEE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8" fillId="0" borderId="0" pivotButton="0" quotePrefix="0" xfId="0"/>
    <xf numFmtId="9" fontId="9" fillId="0" borderId="0" pivotButton="0" quotePrefix="0" xfId="0"/>
    <xf numFmtId="0" fontId="1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9" fontId="7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ont>
        <name val="Consolas"/>
        <color rgb="001F3FBF"/>
        <sz val="11"/>
      </font>
    </dxf>
    <dxf>
      <font>
        <name val="Consolas"/>
        <color rgb="005B8DEF"/>
        <sz val="11"/>
      </font>
    </dxf>
    <dxf>
      <font>
        <name val="Consolas"/>
        <color rgb="00F9A25B"/>
        <sz val="11"/>
      </font>
    </dxf>
    <dxf>
      <font>
        <name val="Consolas"/>
        <color rgb="00E85D04"/>
        <sz val="11"/>
      </font>
    </dxf>
    <dxf>
      <font>
        <b val="1"/>
        <color rgb="00FFFFFF"/>
      </font>
      <fill>
        <patternFill patternType="solid">
          <fgColor rgb="00E85D04"/>
        </patternFill>
      </fill>
    </dxf>
    <dxf>
      <font>
        <b val="1"/>
        <color rgb="00000000"/>
      </font>
      <fill>
        <patternFill patternType="solid">
          <fgColor rgb="00F9A25B"/>
        </patternFill>
      </fill>
    </dxf>
    <dxf>
      <font>
        <b val="1"/>
        <color rgb="00FFFFFF"/>
      </font>
      <fill>
        <patternFill patternType="solid">
          <fgColor rgb="005B8DEF"/>
        </patternFill>
      </fill>
    </dxf>
    <dxf>
      <font>
        <b val="1"/>
        <color rgb="00FFFFFF"/>
      </font>
      <fill>
        <patternFill patternType="solid">
          <fgColor rgb="001F3FBF"/>
        </patternFill>
      </fill>
    </dxf>
    <dxf>
      <font>
        <b val="1"/>
        <color rgb="00000000"/>
      </font>
      <fill>
        <patternFill patternType="solid">
          <fgColor rgb="00D6E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Avance por área (naranja = hecho · azul = falta)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'Resumen'!B6</f>
            </strRef>
          </tx>
          <spPr>
            <a:solidFill>
              <a:srgbClr val="F47621"/>
            </a:solidFill>
            <a:ln>
              <a:solidFill>
                <a:srgbClr val="F47621"/>
              </a:solidFill>
              <a:prstDash val="solid"/>
            </a:ln>
          </spPr>
          <dLbls>
            <numFmt formatCode="0%"/>
            <showVal val="1"/>
          </dLbls>
          <cat>
            <numRef>
              <f>'Resumen'!$A$7:$A$16</f>
            </numRef>
          </cat>
          <val>
            <numRef>
              <f>'Resumen'!$B$7:$B$16</f>
            </numRef>
          </val>
        </ser>
        <ser>
          <idx val="1"/>
          <order val="1"/>
          <tx>
            <strRef>
              <f>'Resumen'!H6</f>
            </strRef>
          </tx>
          <spPr>
            <a:solidFill>
              <a:srgbClr val="1B2FA8"/>
            </a:solidFill>
            <a:ln>
              <a:solidFill>
                <a:srgbClr val="1B2FA8"/>
              </a:solidFill>
              <a:prstDash val="solid"/>
            </a:ln>
          </spPr>
          <cat>
            <numRef>
              <f>'Resumen'!$A$7:$A$16</f>
            </numRef>
          </cat>
          <val>
            <numRef>
              <f>'Resumen'!$H$7:$H$16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F47621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6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 ht="36" customHeight="1">
      <c r="A1" s="1" t="inlineStr">
        <is>
          <t>LUTSA Transportes · Informe de avance</t>
        </is>
      </c>
    </row>
    <row r="2" ht="20" customHeight="1">
      <c r="A2" s="2" t="inlineStr">
        <is>
          <t>Rediseño web (landing + API) · Corte: 19/10/2026</t>
        </is>
      </c>
    </row>
    <row r="4" ht="34" customHeight="1">
      <c r="A4" s="3" t="inlineStr">
        <is>
          <t>AVANCE GENERAL DEL PROYECTO</t>
        </is>
      </c>
      <c r="B4" s="4">
        <f>'Product Backlog'!G53</f>
        <v/>
      </c>
      <c r="D4" s="5">
        <f>REPT("█",ROUND(MAX(0,MIN(1,B4))*20,0))&amp;REPT("░",20-ROUND(MAX(0,MIN(1,B4))*20,0))</f>
        <v/>
      </c>
    </row>
    <row r="6" ht="30" customHeight="1">
      <c r="A6" s="6" t="inlineStr">
        <is>
          <t>Área (épica)</t>
        </is>
      </c>
      <c r="B6" s="6" t="inlineStr">
        <is>
          <t>Avance %</t>
        </is>
      </c>
      <c r="C6" s="6" t="inlineStr">
        <is>
          <t>Actividades</t>
        </is>
      </c>
      <c r="D6" s="6" t="inlineStr">
        <is>
          <t>Progreso</t>
        </is>
      </c>
      <c r="E6" s="6" t="inlineStr">
        <is>
          <t>Completadas</t>
        </is>
      </c>
      <c r="F6" s="6" t="inlineStr">
        <is>
          <t>En progreso</t>
        </is>
      </c>
      <c r="G6" s="6" t="inlineStr">
        <is>
          <t>Pendientes</t>
        </is>
      </c>
      <c r="H6" s="6" t="inlineStr">
        <is>
          <t>Falta %</t>
        </is>
      </c>
    </row>
    <row r="7" ht="24" customHeight="1">
      <c r="A7" s="7" t="inlineStr">
        <is>
          <t>1. Base del proyecto</t>
        </is>
      </c>
      <c r="B7" s="8">
        <f>SUMPRODUCT(('Product Backlog'!$B$5:$B$51=A7)*'Product Backlog'!$F$5:$F$51*'Product Backlog'!$G$5:$G$51)/SUMIF('Product Backlog'!$B$5:$B$51,A7,'Product Backlog'!$F$5:$F$51)</f>
        <v/>
      </c>
      <c r="C7" s="9">
        <f>COUNTIF('Product Backlog'!$B$5:$B$51,A7)</f>
        <v/>
      </c>
      <c r="D7" s="10">
        <f>REPT("█",ROUND(MAX(0,MIN(1,B7))*20,0))&amp;REPT("░",20-ROUND(MAX(0,MIN(1,B7))*20,0))</f>
        <v/>
      </c>
      <c r="E7" s="9">
        <f>COUNTIFS('Product Backlog'!$B$5:$B$51,A7,'Product Backlog'!$G$5:$G$51,"&gt;=1")</f>
        <v/>
      </c>
      <c r="F7" s="9">
        <f>COUNTIFS('Product Backlog'!$B$5:$B$51,A7,'Product Backlog'!$G$5:$G$51,"&gt;0",'Product Backlog'!$G$5:$G$51,"&lt;1")</f>
        <v/>
      </c>
      <c r="G7" s="9">
        <f>COUNTIFS('Product Backlog'!$B$5:$B$51,A7,'Product Backlog'!$G$5:$G$51,"&lt;=0")</f>
        <v/>
      </c>
      <c r="H7" s="11">
        <f>1-B7</f>
        <v/>
      </c>
    </row>
    <row r="8" ht="24" customHeight="1">
      <c r="A8" s="12" t="inlineStr">
        <is>
          <t>2. Páginas y secciones</t>
        </is>
      </c>
      <c r="B8" s="13">
        <f>SUMPRODUCT(('Product Backlog'!$B$5:$B$51=A8)*'Product Backlog'!$F$5:$F$51*'Product Backlog'!$G$5:$G$51)/SUMIF('Product Backlog'!$B$5:$B$51,A8,'Product Backlog'!$F$5:$F$51)</f>
        <v/>
      </c>
      <c r="C8" s="14">
        <f>COUNTIF('Product Backlog'!$B$5:$B$51,A8)</f>
        <v/>
      </c>
      <c r="D8" s="15">
        <f>REPT("█",ROUND(MAX(0,MIN(1,B8))*20,0))&amp;REPT("░",20-ROUND(MAX(0,MIN(1,B8))*20,0))</f>
        <v/>
      </c>
      <c r="E8" s="14">
        <f>COUNTIFS('Product Backlog'!$B$5:$B$51,A8,'Product Backlog'!$G$5:$G$51,"&gt;=1")</f>
        <v/>
      </c>
      <c r="F8" s="14">
        <f>COUNTIFS('Product Backlog'!$B$5:$B$51,A8,'Product Backlog'!$G$5:$G$51,"&gt;0",'Product Backlog'!$G$5:$G$51,"&lt;1")</f>
        <v/>
      </c>
      <c r="G8" s="14">
        <f>COUNTIFS('Product Backlog'!$B$5:$B$51,A8,'Product Backlog'!$G$5:$G$51,"&lt;=0")</f>
        <v/>
      </c>
      <c r="H8" s="16">
        <f>1-B8</f>
        <v/>
      </c>
    </row>
    <row r="9" ht="24" customHeight="1">
      <c r="A9" s="7" t="inlineStr">
        <is>
          <t>3. Idiomas (ES / EN)</t>
        </is>
      </c>
      <c r="B9" s="8">
        <f>SUMPRODUCT(('Product Backlog'!$B$5:$B$51=A9)*'Product Backlog'!$F$5:$F$51*'Product Backlog'!$G$5:$G$51)/SUMIF('Product Backlog'!$B$5:$B$51,A9,'Product Backlog'!$F$5:$F$51)</f>
        <v/>
      </c>
      <c r="C9" s="9">
        <f>COUNTIF('Product Backlog'!$B$5:$B$51,A9)</f>
        <v/>
      </c>
      <c r="D9" s="10">
        <f>REPT("█",ROUND(MAX(0,MIN(1,B9))*20,0))&amp;REPT("░",20-ROUND(MAX(0,MIN(1,B9))*20,0))</f>
        <v/>
      </c>
      <c r="E9" s="9">
        <f>COUNTIFS('Product Backlog'!$B$5:$B$51,A9,'Product Backlog'!$G$5:$G$51,"&gt;=1")</f>
        <v/>
      </c>
      <c r="F9" s="9">
        <f>COUNTIFS('Product Backlog'!$B$5:$B$51,A9,'Product Backlog'!$G$5:$G$51,"&gt;0",'Product Backlog'!$G$5:$G$51,"&lt;1")</f>
        <v/>
      </c>
      <c r="G9" s="9">
        <f>COUNTIFS('Product Backlog'!$B$5:$B$51,A9,'Product Backlog'!$G$5:$G$51,"&lt;=0")</f>
        <v/>
      </c>
      <c r="H9" s="11">
        <f>1-B9</f>
        <v/>
      </c>
    </row>
    <row r="10" ht="24" customHeight="1">
      <c r="A10" s="12" t="inlineStr">
        <is>
          <t>4. Diseño e identidad</t>
        </is>
      </c>
      <c r="B10" s="13">
        <f>SUMPRODUCT(('Product Backlog'!$B$5:$B$51=A10)*'Product Backlog'!$F$5:$F$51*'Product Backlog'!$G$5:$G$51)/SUMIF('Product Backlog'!$B$5:$B$51,A10,'Product Backlog'!$F$5:$F$51)</f>
        <v/>
      </c>
      <c r="C10" s="14">
        <f>COUNTIF('Product Backlog'!$B$5:$B$51,A10)</f>
        <v/>
      </c>
      <c r="D10" s="15">
        <f>REPT("█",ROUND(MAX(0,MIN(1,B10))*20,0))&amp;REPT("░",20-ROUND(MAX(0,MIN(1,B10))*20,0))</f>
        <v/>
      </c>
      <c r="E10" s="14">
        <f>COUNTIFS('Product Backlog'!$B$5:$B$51,A10,'Product Backlog'!$G$5:$G$51,"&gt;=1")</f>
        <v/>
      </c>
      <c r="F10" s="14">
        <f>COUNTIFS('Product Backlog'!$B$5:$B$51,A10,'Product Backlog'!$G$5:$G$51,"&gt;0",'Product Backlog'!$G$5:$G$51,"&lt;1")</f>
        <v/>
      </c>
      <c r="G10" s="14">
        <f>COUNTIFS('Product Backlog'!$B$5:$B$51,A10,'Product Backlog'!$G$5:$G$51,"&lt;=0")</f>
        <v/>
      </c>
      <c r="H10" s="16">
        <f>1-B10</f>
        <v/>
      </c>
    </row>
    <row r="11" ht="24" customHeight="1">
      <c r="A11" s="7" t="inlineStr">
        <is>
          <t>5. Botón de WhatsApp</t>
        </is>
      </c>
      <c r="B11" s="8">
        <f>SUMPRODUCT(('Product Backlog'!$B$5:$B$51=A11)*'Product Backlog'!$F$5:$F$51*'Product Backlog'!$G$5:$G$51)/SUMIF('Product Backlog'!$B$5:$B$51,A11,'Product Backlog'!$F$5:$F$51)</f>
        <v/>
      </c>
      <c r="C11" s="9">
        <f>COUNTIF('Product Backlog'!$B$5:$B$51,A11)</f>
        <v/>
      </c>
      <c r="D11" s="10">
        <f>REPT("█",ROUND(MAX(0,MIN(1,B11))*20,0))&amp;REPT("░",20-ROUND(MAX(0,MIN(1,B11))*20,0))</f>
        <v/>
      </c>
      <c r="E11" s="9">
        <f>COUNTIFS('Product Backlog'!$B$5:$B$51,A11,'Product Backlog'!$G$5:$G$51,"&gt;=1")</f>
        <v/>
      </c>
      <c r="F11" s="9">
        <f>COUNTIFS('Product Backlog'!$B$5:$B$51,A11,'Product Backlog'!$G$5:$G$51,"&gt;0",'Product Backlog'!$G$5:$G$51,"&lt;1")</f>
        <v/>
      </c>
      <c r="G11" s="9">
        <f>COUNTIFS('Product Backlog'!$B$5:$B$51,A11,'Product Backlog'!$G$5:$G$51,"&lt;=0")</f>
        <v/>
      </c>
      <c r="H11" s="11">
        <f>1-B11</f>
        <v/>
      </c>
    </row>
    <row r="12" ht="24" customHeight="1">
      <c r="A12" s="12" t="inlineStr">
        <is>
          <t>6. Formulario / Cotizador</t>
        </is>
      </c>
      <c r="B12" s="13">
        <f>SUMPRODUCT(('Product Backlog'!$B$5:$B$51=A12)*'Product Backlog'!$F$5:$F$51*'Product Backlog'!$G$5:$G$51)/SUMIF('Product Backlog'!$B$5:$B$51,A12,'Product Backlog'!$F$5:$F$51)</f>
        <v/>
      </c>
      <c r="C12" s="14">
        <f>COUNTIF('Product Backlog'!$B$5:$B$51,A12)</f>
        <v/>
      </c>
      <c r="D12" s="15">
        <f>REPT("█",ROUND(MAX(0,MIN(1,B12))*20,0))&amp;REPT("░",20-ROUND(MAX(0,MIN(1,B12))*20,0))</f>
        <v/>
      </c>
      <c r="E12" s="14">
        <f>COUNTIFS('Product Backlog'!$B$5:$B$51,A12,'Product Backlog'!$G$5:$G$51,"&gt;=1")</f>
        <v/>
      </c>
      <c r="F12" s="14">
        <f>COUNTIFS('Product Backlog'!$B$5:$B$51,A12,'Product Backlog'!$G$5:$G$51,"&gt;0",'Product Backlog'!$G$5:$G$51,"&lt;1")</f>
        <v/>
      </c>
      <c r="G12" s="14">
        <f>COUNTIFS('Product Backlog'!$B$5:$B$51,A12,'Product Backlog'!$G$5:$G$51,"&lt;=0")</f>
        <v/>
      </c>
      <c r="H12" s="16">
        <f>1-B12</f>
        <v/>
      </c>
    </row>
    <row r="13" ht="24" customHeight="1">
      <c r="A13" s="7" t="inlineStr">
        <is>
          <t>7. Rendimiento y adaptabilidad</t>
        </is>
      </c>
      <c r="B13" s="8">
        <f>SUMPRODUCT(('Product Backlog'!$B$5:$B$51=A13)*'Product Backlog'!$F$5:$F$51*'Product Backlog'!$G$5:$G$51)/SUMIF('Product Backlog'!$B$5:$B$51,A13,'Product Backlog'!$F$5:$F$51)</f>
        <v/>
      </c>
      <c r="C13" s="9">
        <f>COUNTIF('Product Backlog'!$B$5:$B$51,A13)</f>
        <v/>
      </c>
      <c r="D13" s="10">
        <f>REPT("█",ROUND(MAX(0,MIN(1,B13))*20,0))&amp;REPT("░",20-ROUND(MAX(0,MIN(1,B13))*20,0))</f>
        <v/>
      </c>
      <c r="E13" s="9">
        <f>COUNTIFS('Product Backlog'!$B$5:$B$51,A13,'Product Backlog'!$G$5:$G$51,"&gt;=1")</f>
        <v/>
      </c>
      <c r="F13" s="9">
        <f>COUNTIFS('Product Backlog'!$B$5:$B$51,A13,'Product Backlog'!$G$5:$G$51,"&gt;0",'Product Backlog'!$G$5:$G$51,"&lt;1")</f>
        <v/>
      </c>
      <c r="G13" s="9">
        <f>COUNTIFS('Product Backlog'!$B$5:$B$51,A13,'Product Backlog'!$G$5:$G$51,"&lt;=0")</f>
        <v/>
      </c>
      <c r="H13" s="11">
        <f>1-B13</f>
        <v/>
      </c>
    </row>
    <row r="14" ht="24" customHeight="1">
      <c r="A14" s="12" t="inlineStr">
        <is>
          <t>8. SEO y buenas prácticas</t>
        </is>
      </c>
      <c r="B14" s="13">
        <f>SUMPRODUCT(('Product Backlog'!$B$5:$B$51=A14)*'Product Backlog'!$F$5:$F$51*'Product Backlog'!$G$5:$G$51)/SUMIF('Product Backlog'!$B$5:$B$51,A14,'Product Backlog'!$F$5:$F$51)</f>
        <v/>
      </c>
      <c r="C14" s="14">
        <f>COUNTIF('Product Backlog'!$B$5:$B$51,A14)</f>
        <v/>
      </c>
      <c r="D14" s="15">
        <f>REPT("█",ROUND(MAX(0,MIN(1,B14))*20,0))&amp;REPT("░",20-ROUND(MAX(0,MIN(1,B14))*20,0))</f>
        <v/>
      </c>
      <c r="E14" s="14">
        <f>COUNTIFS('Product Backlog'!$B$5:$B$51,A14,'Product Backlog'!$G$5:$G$51,"&gt;=1")</f>
        <v/>
      </c>
      <c r="F14" s="14">
        <f>COUNTIFS('Product Backlog'!$B$5:$B$51,A14,'Product Backlog'!$G$5:$G$51,"&gt;0",'Product Backlog'!$G$5:$G$51,"&lt;1")</f>
        <v/>
      </c>
      <c r="G14" s="14">
        <f>COUNTIFS('Product Backlog'!$B$5:$B$51,A14,'Product Backlog'!$G$5:$G$51,"&lt;=0")</f>
        <v/>
      </c>
      <c r="H14" s="16">
        <f>1-B14</f>
        <v/>
      </c>
    </row>
    <row r="15" ht="24" customHeight="1">
      <c r="A15" s="7" t="inlineStr">
        <is>
          <t>9. Backend API (LUTSA-CORE)</t>
        </is>
      </c>
      <c r="B15" s="8">
        <f>SUMPRODUCT(('Product Backlog'!$B$5:$B$51=A15)*'Product Backlog'!$F$5:$F$51*'Product Backlog'!$G$5:$G$51)/SUMIF('Product Backlog'!$B$5:$B$51,A15,'Product Backlog'!$F$5:$F$51)</f>
        <v/>
      </c>
      <c r="C15" s="9">
        <f>COUNTIF('Product Backlog'!$B$5:$B$51,A15)</f>
        <v/>
      </c>
      <c r="D15" s="10">
        <f>REPT("█",ROUND(MAX(0,MIN(1,B15))*20,0))&amp;REPT("░",20-ROUND(MAX(0,MIN(1,B15))*20,0))</f>
        <v/>
      </c>
      <c r="E15" s="9">
        <f>COUNTIFS('Product Backlog'!$B$5:$B$51,A15,'Product Backlog'!$G$5:$G$51,"&gt;=1")</f>
        <v/>
      </c>
      <c r="F15" s="9">
        <f>COUNTIFS('Product Backlog'!$B$5:$B$51,A15,'Product Backlog'!$G$5:$G$51,"&gt;0",'Product Backlog'!$G$5:$G$51,"&lt;1")</f>
        <v/>
      </c>
      <c r="G15" s="9">
        <f>COUNTIFS('Product Backlog'!$B$5:$B$51,A15,'Product Backlog'!$G$5:$G$51,"&lt;=0")</f>
        <v/>
      </c>
      <c r="H15" s="11">
        <f>1-B15</f>
        <v/>
      </c>
    </row>
    <row r="16" ht="24" customHeight="1">
      <c r="A16" s="12" t="inlineStr">
        <is>
          <t>10. Entregables</t>
        </is>
      </c>
      <c r="B16" s="13">
        <f>SUMPRODUCT(('Product Backlog'!$B$5:$B$51=A16)*'Product Backlog'!$F$5:$F$51*'Product Backlog'!$G$5:$G$51)/SUMIF('Product Backlog'!$B$5:$B$51,A16,'Product Backlog'!$F$5:$F$51)</f>
        <v/>
      </c>
      <c r="C16" s="14">
        <f>COUNTIF('Product Backlog'!$B$5:$B$51,A16)</f>
        <v/>
      </c>
      <c r="D16" s="15">
        <f>REPT("█",ROUND(MAX(0,MIN(1,B16))*20,0))&amp;REPT("░",20-ROUND(MAX(0,MIN(1,B16))*20,0))</f>
        <v/>
      </c>
      <c r="E16" s="14">
        <f>COUNTIFS('Product Backlog'!$B$5:$B$51,A16,'Product Backlog'!$G$5:$G$51,"&gt;=1")</f>
        <v/>
      </c>
      <c r="F16" s="14">
        <f>COUNTIFS('Product Backlog'!$B$5:$B$51,A16,'Product Backlog'!$G$5:$G$51,"&gt;0",'Product Backlog'!$G$5:$G$51,"&lt;1")</f>
        <v/>
      </c>
      <c r="G16" s="14">
        <f>COUNTIFS('Product Backlog'!$B$5:$B$51,A16,'Product Backlog'!$G$5:$G$51,"&lt;=0")</f>
        <v/>
      </c>
      <c r="H16" s="16">
        <f>1-B16</f>
        <v/>
      </c>
    </row>
    <row r="43">
      <c r="A43" s="3" t="inlineStr">
        <is>
          <t>PRÓXIMOS PASOS (prioridad)</t>
        </is>
      </c>
    </row>
    <row r="44" ht="20" customHeight="1">
      <c r="A44" s="17" t="inlineStr">
        <is>
          <t>1. Botón flotante de WhatsApp personalizado y bilingüe (requiere número oficial).</t>
        </is>
      </c>
    </row>
    <row r="45" ht="20" customHeight="1">
      <c r="A45" s="17" t="inlineStr">
        <is>
          <t>2. Sección de Galería (requiere fotos de LUTSA y su diseño).</t>
        </is>
      </c>
    </row>
    <row r="46" ht="20" customHeight="1">
      <c r="A46" s="17" t="inlineStr">
        <is>
          <t>3. Probar URLs por idioma y SEO en el hosting real + Google Search Console.</t>
        </is>
      </c>
    </row>
    <row r="47" ht="20" customHeight="1">
      <c r="A47" s="17" t="inlineStr">
        <is>
          <t>4. Medir con Lighthouse y animar el camión de forma continua con el scroll.</t>
        </is>
      </c>
    </row>
    <row r="48" ht="20" customHeight="1">
      <c r="A48" s="17" t="inlineStr">
        <is>
          <t>5. Nosotros: historia, visión y valores · Submarcas: espacio por marca con logos.</t>
        </is>
      </c>
    </row>
    <row r="49" ht="20" customHeight="1">
      <c r="A49" s="17" t="inlineStr">
        <is>
          <t>6. Correo SMTP y claves reCAPTCHA reales; publicar en lutsa.mx y subir el código al repo del cliente.</t>
        </is>
      </c>
    </row>
    <row r="52">
      <c r="A52" s="18" t="inlineStr">
        <is>
          <t>Escala de color de las barras:</t>
        </is>
      </c>
    </row>
    <row r="53">
      <c r="A53" s="19" t="inlineStr">
        <is>
          <t>████  0–39 % · falta mucho</t>
        </is>
      </c>
    </row>
    <row r="54">
      <c r="A54" s="20" t="inlineStr">
        <is>
          <t>████  40–64 % · en camino</t>
        </is>
      </c>
    </row>
    <row r="55">
      <c r="A55" s="21" t="inlineStr">
        <is>
          <t>████  65–84 % · avanzado</t>
        </is>
      </c>
    </row>
    <row r="56">
      <c r="A56" s="22" t="inlineStr">
        <is>
          <t>████  85–100 % · casi listo / listo</t>
        </is>
      </c>
    </row>
  </sheetData>
  <mergeCells count="9">
    <mergeCell ref="A1:H1"/>
    <mergeCell ref="A2:H2"/>
    <mergeCell ref="D4:H4"/>
    <mergeCell ref="A44:H44"/>
    <mergeCell ref="A45:H45"/>
    <mergeCell ref="A46:H46"/>
    <mergeCell ref="A47:H47"/>
    <mergeCell ref="A48:H48"/>
    <mergeCell ref="A49:H49"/>
  </mergeCells>
  <conditionalFormatting sqref="D4">
    <cfRule type="expression" priority="1" dxfId="0">
      <formula>AND($B4&gt;=0,$B4&lt;=0.39999)</formula>
    </cfRule>
    <cfRule type="expression" priority="2" dxfId="1">
      <formula>AND($B4&gt;=0.4,$B4&lt;=0.64999)</formula>
    </cfRule>
    <cfRule type="expression" priority="3" dxfId="2">
      <formula>AND($B4&gt;=0.65,$B4&lt;=0.84999)</formula>
    </cfRule>
    <cfRule type="expression" priority="4" dxfId="3">
      <formula>AND($B4&gt;=0.85,$B4&lt;=2)</formula>
    </cfRule>
  </conditionalFormatting>
  <conditionalFormatting sqref="D7:D16">
    <cfRule type="expression" priority="5" dxfId="0">
      <formula>AND($B7&gt;=0,$B7&lt;=0.39999)</formula>
    </cfRule>
    <cfRule type="expression" priority="6" dxfId="1">
      <formula>AND($B7&gt;=0.4,$B7&lt;=0.64999)</formula>
    </cfRule>
    <cfRule type="expression" priority="7" dxfId="2">
      <formula>AND($B7&gt;=0.65,$B7&lt;=0.84999)</formula>
    </cfRule>
    <cfRule type="expression" priority="8" dxfId="3">
      <formula>AND($B7&gt;=0.85,$B7&lt;=2)</formula>
    </cfRule>
  </conditionalFormatting>
  <conditionalFormatting sqref="B7:B16">
    <cfRule type="colorScale" priority="9">
      <colorScale>
        <cfvo type="num" val="0"/>
        <cfvo type="num" val="0.6"/>
        <cfvo type="num" val="1"/>
        <color rgb="00D6E0FF"/>
        <color rgb="00FFF1E6"/>
        <color rgb="00FBC59A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tabColor rgb="00121874"/>
    <outlinePr summaryBelow="1" summaryRight="1"/>
    <pageSetUpPr/>
  </sheetPr>
  <dimension ref="A1:J5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30" customWidth="1" min="4" max="4"/>
    <col width="17" customWidth="1" min="5" max="5"/>
    <col width="7" customWidth="1" min="6" max="6"/>
    <col width="10" customWidth="1" min="7" max="7"/>
    <col width="26" customWidth="1" min="8" max="8"/>
    <col width="14" customWidth="1" min="9" max="9"/>
    <col width="70" customWidth="1" min="10" max="10"/>
  </cols>
  <sheetData>
    <row r="1" ht="36" customHeight="1">
      <c r="A1" s="1" t="inlineStr">
        <is>
          <t>LUTSA Transportes · Product Backlog del rediseño web</t>
        </is>
      </c>
    </row>
    <row r="2" ht="20" customHeight="1">
      <c r="A2" s="2" t="inlineStr">
        <is>
          <t>Basado en «Requisitos para Rediseño Web» y en la revisión del código (landing + API LUTSA-CORE) · Corte: 19/10/2026 · Edita la columna «Avance %»: las barras y el resumen se actualizan solos</t>
        </is>
      </c>
    </row>
    <row r="4" ht="30" customHeight="1">
      <c r="A4" s="6" t="inlineStr">
        <is>
          <t>ID</t>
        </is>
      </c>
      <c r="B4" s="6" t="inlineStr">
        <is>
          <t>Área (épica)</t>
        </is>
      </c>
      <c r="C4" s="6" t="inlineStr">
        <is>
          <t>Actividad / requisito</t>
        </is>
      </c>
      <c r="D4" s="6" t="inlineStr">
        <is>
          <t>Requisito del PDF</t>
        </is>
      </c>
      <c r="E4" s="6" t="inlineStr">
        <is>
          <t>Responsable</t>
        </is>
      </c>
      <c r="F4" s="6" t="inlineStr">
        <is>
          <t>Peso</t>
        </is>
      </c>
      <c r="G4" s="6" t="inlineStr">
        <is>
          <t>Avance %</t>
        </is>
      </c>
      <c r="H4" s="6" t="inlineStr">
        <is>
          <t>Progreso</t>
        </is>
      </c>
      <c r="I4" s="6" t="inlineStr">
        <is>
          <t>Estado</t>
        </is>
      </c>
      <c r="J4" s="6" t="inlineStr">
        <is>
          <t>Qué falta / notas</t>
        </is>
      </c>
    </row>
    <row r="5" ht="32" customHeight="1">
      <c r="A5" s="23" t="inlineStr">
        <is>
          <t>R01</t>
        </is>
      </c>
      <c r="B5" s="24" t="inlineStr">
        <is>
          <t>1. Base del proyecto</t>
        </is>
      </c>
      <c r="C5" s="24" t="inlineStr">
        <is>
          <t>Desarrollo en código custom (sin WordPress)</t>
        </is>
      </c>
      <c r="D5" s="24" t="inlineStr">
        <is>
          <t>Tipo de proyecto</t>
        </is>
      </c>
      <c r="E5" s="23" t="inlineStr">
        <is>
          <t>Proveedor</t>
        </is>
      </c>
      <c r="F5" s="9" t="n">
        <v>1</v>
      </c>
      <c r="G5" s="8" t="n">
        <v>1</v>
      </c>
      <c r="H5" s="25">
        <f>REPT("█",ROUND(MAX(0,MIN(1,G5))*20,0))&amp;REPT("░",20-ROUND(MAX(0,MIN(1,G5))*20,0))</f>
        <v/>
      </c>
      <c r="I5" s="9">
        <f>IF(G5&gt;=1,"Completado",IF(G5&lt;=0,"Pendiente",IF(G5&gt;=0.85,"Casi listo","En progreso")))</f>
        <v/>
      </c>
      <c r="J5" s="24" t="inlineStr">
        <is>
          <t>Hecho: React + TypeScript + Vite + Tailwind.</t>
        </is>
      </c>
    </row>
    <row r="6" ht="32" customHeight="1">
      <c r="A6" s="26" t="inlineStr">
        <is>
          <t>R02</t>
        </is>
      </c>
      <c r="B6" s="27" t="inlineStr">
        <is>
          <t>1. Base del proyecto</t>
        </is>
      </c>
      <c r="C6" s="27" t="inlineStr">
        <is>
          <t>Código limpio, componentes y assets reutilizables</t>
        </is>
      </c>
      <c r="D6" s="27" t="inlineStr">
        <is>
          <t>Tipo de proyecto / Rendimiento</t>
        </is>
      </c>
      <c r="E6" s="26" t="inlineStr">
        <is>
          <t>Proveedor</t>
        </is>
      </c>
      <c r="F6" s="14" t="n">
        <v>1</v>
      </c>
      <c r="G6" s="13" t="n">
        <v>0.85</v>
      </c>
      <c r="H6" s="28">
        <f>REPT("█",ROUND(MAX(0,MIN(1,G6))*20,0))&amp;REPT("░",20-ROUND(MAX(0,MIN(1,G6))*20,0))</f>
        <v/>
      </c>
      <c r="I6" s="14">
        <f>IF(G6&gt;=1,"Completado",IF(G6&lt;=0,"Pendiente",IF(G6&gt;=0.85,"Casi listo","En progreso")))</f>
        <v/>
      </c>
      <c r="J6" s="27" t="inlineStr">
        <is>
          <t>Falta limpiar archivos sin uso (imágenes duplicadas «copy», secciones de marcador).</t>
        </is>
      </c>
    </row>
    <row r="7" ht="32" customHeight="1">
      <c r="A7" s="23" t="inlineStr">
        <is>
          <t>R03</t>
        </is>
      </c>
      <c r="B7" s="24" t="inlineStr">
        <is>
          <t>1. Base del proyecto</t>
        </is>
      </c>
      <c r="C7" s="24" t="inlineStr">
        <is>
          <t>Base preparada para integraciones y crecimiento</t>
        </is>
      </c>
      <c r="D7" s="24" t="inlineStr">
        <is>
          <t>Tipo de proyecto</t>
        </is>
      </c>
      <c r="E7" s="23" t="inlineStr">
        <is>
          <t>Proveedor</t>
        </is>
      </c>
      <c r="F7" s="9" t="n">
        <v>1</v>
      </c>
      <c r="G7" s="8" t="n">
        <v>0.9</v>
      </c>
      <c r="H7" s="25">
        <f>REPT("█",ROUND(MAX(0,MIN(1,G7))*20,0))&amp;REPT("░",20-ROUND(MAX(0,MIN(1,G7))*20,0))</f>
        <v/>
      </c>
      <c r="I7" s="9">
        <f>IF(G7&gt;=1,"Completado",IF(G7&lt;=0,"Pendiente",IF(G7&gt;=0.85,"Casi listo","En progreso")))</f>
        <v/>
      </c>
      <c r="J7" s="24" t="inlineStr">
        <is>
          <t>API propia (LUTSA-CORE) lista para CRM; falta definir el CRM destino.</t>
        </is>
      </c>
    </row>
    <row r="8" ht="32" customHeight="1">
      <c r="A8" s="26" t="inlineStr">
        <is>
          <t>R04</t>
        </is>
      </c>
      <c r="B8" s="27" t="inlineStr">
        <is>
          <t>2. Páginas y secciones</t>
        </is>
      </c>
      <c r="C8" s="27" t="inlineStr">
        <is>
          <t>Inicio / Home: presentación + propuesta de valor</t>
        </is>
      </c>
      <c r="D8" s="27" t="inlineStr">
        <is>
          <t>Estructura de páginas #1</t>
        </is>
      </c>
      <c r="E8" s="26" t="inlineStr">
        <is>
          <t>Proveedor</t>
        </is>
      </c>
      <c r="F8" s="14" t="n">
        <v>1</v>
      </c>
      <c r="G8" s="13" t="n">
        <v>0.95</v>
      </c>
      <c r="H8" s="28">
        <f>REPT("█",ROUND(MAX(0,MIN(1,G8))*20,0))&amp;REPT("░",20-ROUND(MAX(0,MIN(1,G8))*20,0))</f>
        <v/>
      </c>
      <c r="I8" s="14">
        <f>IF(G8&gt;=1,"Completado",IF(G8&lt;=0,"Pendiente",IF(G8&gt;=0.85,"Casi listo","En progreso")))</f>
        <v/>
      </c>
      <c r="J8" s="27" t="inlineStr">
        <is>
          <t>Falta revisión final de textos con LUTSA.</t>
        </is>
      </c>
    </row>
    <row r="9" ht="32" customHeight="1">
      <c r="A9" s="23" t="inlineStr">
        <is>
          <t>R05</t>
        </is>
      </c>
      <c r="B9" s="24" t="inlineStr">
        <is>
          <t>2. Páginas y secciones</t>
        </is>
      </c>
      <c r="C9" s="24" t="inlineStr">
        <is>
          <t>Nosotros / About Us: historia, visión y valores</t>
        </is>
      </c>
      <c r="D9" s="24" t="inlineStr">
        <is>
          <t>Estructura de páginas #2</t>
        </is>
      </c>
      <c r="E9" s="23" t="inlineStr">
        <is>
          <t>Proveedor + LUTSA</t>
        </is>
      </c>
      <c r="F9" s="9" t="n">
        <v>1</v>
      </c>
      <c r="G9" s="8" t="n">
        <v>0.6</v>
      </c>
      <c r="H9" s="25">
        <f>REPT("█",ROUND(MAX(0,MIN(1,G9))*20,0))&amp;REPT("░",20-ROUND(MAX(0,MIN(1,G9))*20,0))</f>
        <v/>
      </c>
      <c r="I9" s="9">
        <f>IF(G9&gt;=1,"Completado",IF(G9&lt;=0,"Pendiente",IF(G9&gt;=0.85,"Casi listo","En progreso")))</f>
        <v/>
      </c>
      <c r="J9" s="24" t="inlineStr">
        <is>
          <t>Hecho: presentación, equipo y contacto por áreas. Falta: historia, visión y valores (contenido de LUTSA).</t>
        </is>
      </c>
    </row>
    <row r="10" ht="32" customHeight="1">
      <c r="A10" s="26" t="inlineStr">
        <is>
          <t>R06</t>
        </is>
      </c>
      <c r="B10" s="27" t="inlineStr">
        <is>
          <t>2. Páginas y secciones</t>
        </is>
      </c>
      <c r="C10" s="27" t="inlineStr">
        <is>
          <t>Servicios / Services: detalle de cada servicio</t>
        </is>
      </c>
      <c r="D10" s="27" t="inlineStr">
        <is>
          <t>Estructura de páginas #3</t>
        </is>
      </c>
      <c r="E10" s="26" t="inlineStr">
        <is>
          <t>Proveedor</t>
        </is>
      </c>
      <c r="F10" s="14" t="n">
        <v>1</v>
      </c>
      <c r="G10" s="13" t="n">
        <v>0.9</v>
      </c>
      <c r="H10" s="28">
        <f>REPT("█",ROUND(MAX(0,MIN(1,G10))*20,0))&amp;REPT("░",20-ROUND(MAX(0,MIN(1,G10))*20,0))</f>
        <v/>
      </c>
      <c r="I10" s="14">
        <f>IF(G10&gt;=1,"Completado",IF(G10&lt;=0,"Pendiente",IF(G10&gt;=0.85,"Casi listo","En progreso")))</f>
        <v/>
      </c>
      <c r="J10" s="27" t="inlineStr">
        <is>
          <t>Falta validar textos y lista de servicios con LUTSA.</t>
        </is>
      </c>
    </row>
    <row r="11" ht="32" customHeight="1">
      <c r="A11" s="23" t="inlineStr">
        <is>
          <t>R07</t>
        </is>
      </c>
      <c r="B11" s="24" t="inlineStr">
        <is>
          <t>2. Páginas y secciones</t>
        </is>
      </c>
      <c r="C11" s="24" t="inlineStr">
        <is>
          <t>Industrias / Industries</t>
        </is>
      </c>
      <c r="D11" s="24" t="inlineStr">
        <is>
          <t>Estructura de páginas #4</t>
        </is>
      </c>
      <c r="E11" s="23" t="inlineStr">
        <is>
          <t>Proveedor</t>
        </is>
      </c>
      <c r="F11" s="9" t="n">
        <v>1</v>
      </c>
      <c r="G11" s="8" t="n">
        <v>0.95</v>
      </c>
      <c r="H11" s="25">
        <f>REPT("█",ROUND(MAX(0,MIN(1,G11))*20,0))&amp;REPT("░",20-ROUND(MAX(0,MIN(1,G11))*20,0))</f>
        <v/>
      </c>
      <c r="I11" s="9">
        <f>IF(G11&gt;=1,"Completado",IF(G11&lt;=0,"Pendiente",IF(G11&gt;=0.85,"Casi listo","En progreso")))</f>
        <v/>
      </c>
      <c r="J11" s="24" t="inlineStr">
        <is>
          <t>Falta validar cifras (+8.5 %, +70 %, +80 %) con su fuente.</t>
        </is>
      </c>
    </row>
    <row r="12" ht="32" customHeight="1">
      <c r="A12" s="26" t="inlineStr">
        <is>
          <t>R08</t>
        </is>
      </c>
      <c r="B12" s="27" t="inlineStr">
        <is>
          <t>2. Páginas y secciones</t>
        </is>
      </c>
      <c r="C12" s="27" t="inlineStr">
        <is>
          <t>Submarcas / Brands: espacio dedicado por submarca</t>
        </is>
      </c>
      <c r="D12" s="27" t="inlineStr">
        <is>
          <t>Estructura de páginas #5</t>
        </is>
      </c>
      <c r="E12" s="26" t="inlineStr">
        <is>
          <t>Proveedor + LUTSA</t>
        </is>
      </c>
      <c r="F12" s="14" t="n">
        <v>1</v>
      </c>
      <c r="G12" s="13" t="n">
        <v>0.65</v>
      </c>
      <c r="H12" s="28">
        <f>REPT("█",ROUND(MAX(0,MIN(1,G12))*20,0))&amp;REPT("░",20-ROUND(MAX(0,MIN(1,G12))*20,0))</f>
        <v/>
      </c>
      <c r="I12" s="14">
        <f>IF(G12&gt;=1,"Completado",IF(G12&lt;=0,"Pendiente",IF(G12&gt;=0.85,"Casi listo","En progreso")))</f>
        <v/>
      </c>
      <c r="J12" s="27" t="inlineStr">
        <is>
          <t>Hecho: diagrama del ecosistema animado. Falta: logos de submarcas y espacio/ficha dedicada a cada una.</t>
        </is>
      </c>
    </row>
    <row r="13" ht="32" customHeight="1">
      <c r="A13" s="23" t="inlineStr">
        <is>
          <t>R09</t>
        </is>
      </c>
      <c r="B13" s="24" t="inlineStr">
        <is>
          <t>2. Páginas y secciones</t>
        </is>
      </c>
      <c r="C13" s="24" t="inlineStr">
        <is>
          <t>Galería (sustituye a Responsabilidad Social / ESR)</t>
        </is>
      </c>
      <c r="D13" s="24" t="inlineStr">
        <is>
          <t>Estructura de páginas #6 (cambio acordado)</t>
        </is>
      </c>
      <c r="E13" s="23" t="inlineStr">
        <is>
          <t>Proveedor + LUTSA</t>
        </is>
      </c>
      <c r="F13" s="9" t="n">
        <v>1</v>
      </c>
      <c r="G13" s="8" t="n">
        <v>0.1</v>
      </c>
      <c r="H13" s="25">
        <f>REPT("█",ROUND(MAX(0,MIN(1,G13))*20,0))&amp;REPT("░",20-ROUND(MAX(0,MIN(1,G13))*20,0))</f>
        <v/>
      </c>
      <c r="I13" s="9">
        <f>IF(G13&gt;=1,"Completado",IF(G13&lt;=0,"Pendiente",IF(G13&gt;=0.85,"Casi listo","En progreso")))</f>
        <v/>
      </c>
      <c r="J13" s="24" t="inlineStr">
        <is>
          <t>Solo existe el marcador y su parada en la barra de km. Falta diseño y fotos (requiere material de LUTSA). Ahora es la última sección (70 km); la Cotización pasó al 50 km.</t>
        </is>
      </c>
    </row>
    <row r="14" ht="32" customHeight="1">
      <c r="A14" s="26" t="inlineStr">
        <is>
          <t>R10</t>
        </is>
      </c>
      <c r="B14" s="27" t="inlineStr">
        <is>
          <t>2. Páginas y secciones</t>
        </is>
      </c>
      <c r="C14" s="27" t="inlineStr">
        <is>
          <t>Certificaciones (sección visual tipo GOMSA)</t>
        </is>
      </c>
      <c r="D14" s="27" t="inlineStr">
        <is>
          <t>Estructura de páginas #7</t>
        </is>
      </c>
      <c r="E14" s="26" t="inlineStr">
        <is>
          <t>Proveedor + LUTSA</t>
        </is>
      </c>
      <c r="F14" s="14" t="n">
        <v>1</v>
      </c>
      <c r="G14" s="13" t="n">
        <v>0.95</v>
      </c>
      <c r="H14" s="28">
        <f>REPT("█",ROUND(MAX(0,MIN(1,G14))*20,0))&amp;REPT("░",20-ROUND(MAX(0,MIN(1,G14))*20,0))</f>
        <v/>
      </c>
      <c r="I14" s="14">
        <f>IF(G14&gt;=1,"Completado",IF(G14&lt;=0,"Pendiente",IF(G14&gt;=0.85,"Casi listo","En progreso")))</f>
        <v/>
      </c>
      <c r="J14" s="27" t="inlineStr">
        <is>
          <t>Hecho: ISO 9001, ESR y Hecho en México con tarjetas que giran, igual al diseño y adaptado a móvil/tablet (ES/EN). Falta: validar textos oficiales con LUTSA.</t>
        </is>
      </c>
    </row>
    <row r="15" ht="32" customHeight="1">
      <c r="A15" s="23" t="inlineStr">
        <is>
          <t>R11</t>
        </is>
      </c>
      <c r="B15" s="24" t="inlineStr">
        <is>
          <t>2. Páginas y secciones</t>
        </is>
      </c>
      <c r="C15" s="24" t="inlineStr">
        <is>
          <t>Cotización / Contact &amp; Quote</t>
        </is>
      </c>
      <c r="D15" s="24" t="inlineStr">
        <is>
          <t>Estructura de páginas #8</t>
        </is>
      </c>
      <c r="E15" s="23" t="inlineStr">
        <is>
          <t>Proveedor</t>
        </is>
      </c>
      <c r="F15" s="9" t="n">
        <v>1</v>
      </c>
      <c r="G15" s="8" t="n">
        <v>0.9</v>
      </c>
      <c r="H15" s="25">
        <f>REPT("█",ROUND(MAX(0,MIN(1,G15))*20,0))&amp;REPT("░",20-ROUND(MAX(0,MIN(1,G15))*20,0))</f>
        <v/>
      </c>
      <c r="I15" s="9">
        <f>IF(G15&gt;=1,"Completado",IF(G15&lt;=0,"Pendiente",IF(G15&gt;=0.85,"Casi listo","En progreso")))</f>
        <v/>
      </c>
      <c r="J15" s="24" t="inlineStr">
        <is>
          <t>Falta envío real de correo (SMTP) y claves reales de reCAPTCHA.</t>
        </is>
      </c>
    </row>
    <row r="16" ht="32" customHeight="1">
      <c r="A16" s="26" t="inlineStr">
        <is>
          <t>R12</t>
        </is>
      </c>
      <c r="B16" s="27" t="inlineStr">
        <is>
          <t>3. Idiomas (ES / EN)</t>
        </is>
      </c>
      <c r="C16" s="27" t="inlineStr">
        <is>
          <t>Selector de idioma visible en la navegación</t>
        </is>
      </c>
      <c r="D16" s="27" t="inlineStr">
        <is>
          <t>Idiomas</t>
        </is>
      </c>
      <c r="E16" s="26" t="inlineStr">
        <is>
          <t>Proveedor</t>
        </is>
      </c>
      <c r="F16" s="14" t="n">
        <v>1</v>
      </c>
      <c r="G16" s="13" t="n">
        <v>1</v>
      </c>
      <c r="H16" s="28">
        <f>REPT("█",ROUND(MAX(0,MIN(1,G16))*20,0))&amp;REPT("░",20-ROUND(MAX(0,MIN(1,G16))*20,0))</f>
        <v/>
      </c>
      <c r="I16" s="14">
        <f>IF(G16&gt;=1,"Completado",IF(G16&lt;=0,"Pendiente",IF(G16&gt;=0.85,"Casi listo","En progreso")))</f>
        <v/>
      </c>
      <c r="J16" s="27" t="inlineStr">
        <is>
          <t>Hecho: botón de idioma en el header (también en el menú móvil). El idioma también se toma de la URL (/es, /en).</t>
        </is>
      </c>
    </row>
    <row r="17" ht="32" customHeight="1">
      <c r="A17" s="23" t="inlineStr">
        <is>
          <t>R13</t>
        </is>
      </c>
      <c r="B17" s="24" t="inlineStr">
        <is>
          <t>3. Idiomas (ES / EN)</t>
        </is>
      </c>
      <c r="C17" s="24" t="inlineStr">
        <is>
          <t>Contenido, menús y formularios traducidos</t>
        </is>
      </c>
      <c r="D17" s="24" t="inlineStr">
        <is>
          <t>Idiomas</t>
        </is>
      </c>
      <c r="E17" s="23" t="inlineStr">
        <is>
          <t>Proveedor</t>
        </is>
      </c>
      <c r="F17" s="9" t="n">
        <v>1</v>
      </c>
      <c r="G17" s="8" t="n">
        <v>0.9</v>
      </c>
      <c r="H17" s="25">
        <f>REPT("█",ROUND(MAX(0,MIN(1,G17))*20,0))&amp;REPT("░",20-ROUND(MAX(0,MIN(1,G17))*20,0))</f>
        <v/>
      </c>
      <c r="I17" s="9">
        <f>IF(G17&gt;=1,"Completado",IF(G17&lt;=0,"Pendiente",IF(G17&gt;=0.85,"Casi listo","En progreso")))</f>
        <v/>
      </c>
      <c r="J17" s="24" t="inlineStr">
        <is>
          <t>Hecho: barra de km, Certificaciones y Galería (marcador). Falta: botón de WhatsApp y el contenido final de Galería.</t>
        </is>
      </c>
    </row>
    <row r="18" ht="32" customHeight="1">
      <c r="A18" s="26" t="inlineStr">
        <is>
          <t>R14</t>
        </is>
      </c>
      <c r="B18" s="27" t="inlineStr">
        <is>
          <t>3. Idiomas (ES / EN)</t>
        </is>
      </c>
      <c r="C18" s="27" t="inlineStr">
        <is>
          <t>Inglés natural (no literal)</t>
        </is>
      </c>
      <c r="D18" s="27" t="inlineStr">
        <is>
          <t>Idiomas</t>
        </is>
      </c>
      <c r="E18" s="26" t="inlineStr">
        <is>
          <t>Proveedor + LUTSA</t>
        </is>
      </c>
      <c r="F18" s="14" t="n">
        <v>1</v>
      </c>
      <c r="G18" s="13" t="n">
        <v>0.9</v>
      </c>
      <c r="H18" s="28">
        <f>REPT("█",ROUND(MAX(0,MIN(1,G18))*20,0))&amp;REPT("░",20-ROUND(MAX(0,MIN(1,G18))*20,0))</f>
        <v/>
      </c>
      <c r="I18" s="14">
        <f>IF(G18&gt;=1,"Completado",IF(G18&lt;=0,"Pendiente",IF(G18&gt;=0.85,"Casi listo","En progreso")))</f>
        <v/>
      </c>
      <c r="J18" s="27" t="inlineStr">
        <is>
          <t>Revisado. Falta visto bueno de LUTSA (ej. «Human resources» vs «Human capital»).</t>
        </is>
      </c>
    </row>
    <row r="19" ht="32" customHeight="1">
      <c r="A19" s="23" t="inlineStr">
        <is>
          <t>R15</t>
        </is>
      </c>
      <c r="B19" s="24" t="inlineStr">
        <is>
          <t>3. Idiomas (ES / EN)</t>
        </is>
      </c>
      <c r="C19" s="24" t="inlineStr">
        <is>
          <t>URLs por idioma (/es/…, /en/…) o hreflang</t>
        </is>
      </c>
      <c r="D19" s="24" t="inlineStr">
        <is>
          <t>Idiomas / SEO</t>
        </is>
      </c>
      <c r="E19" s="23" t="inlineStr">
        <is>
          <t>Proveedor</t>
        </is>
      </c>
      <c r="F19" s="9" t="n">
        <v>1</v>
      </c>
      <c r="G19" s="8" t="n">
        <v>0.85</v>
      </c>
      <c r="H19" s="25">
        <f>REPT("█",ROUND(MAX(0,MIN(1,G19))*20,0))&amp;REPT("░",20-ROUND(MAX(0,MIN(1,G19))*20,0))</f>
        <v/>
      </c>
      <c r="I19" s="9">
        <f>IF(G19&gt;=1,"Completado",IF(G19&lt;=0,"Pendiente",IF(G19&gt;=0.85,"Casi listo","En progreso")))</f>
        <v/>
      </c>
      <c r="J19" s="24" t="inlineStr">
        <is>
          <t>Hecho: /es/servicios y /en/services, una por sección; la URL cambia al hacer scroll y al cambiar de idioma. Falta probar en el hosting real.</t>
        </is>
      </c>
    </row>
    <row r="20" ht="32" customHeight="1">
      <c r="A20" s="26" t="inlineStr">
        <is>
          <t>R16</t>
        </is>
      </c>
      <c r="B20" s="27" t="inlineStr">
        <is>
          <t>4. Diseño e identidad</t>
        </is>
      </c>
      <c r="C20" s="27" t="inlineStr">
        <is>
          <t>Identidad propia azul rey y naranja (no copiar GOMSA)</t>
        </is>
      </c>
      <c r="D20" s="27" t="inlineStr">
        <is>
          <t>Referencia de diseño</t>
        </is>
      </c>
      <c r="E20" s="26" t="inlineStr">
        <is>
          <t>Proveedor</t>
        </is>
      </c>
      <c r="F20" s="14" t="n">
        <v>1</v>
      </c>
      <c r="G20" s="13" t="n">
        <v>0.95</v>
      </c>
      <c r="H20" s="28">
        <f>REPT("█",ROUND(MAX(0,MIN(1,G20))*20,0))&amp;REPT("░",20-ROUND(MAX(0,MIN(1,G20))*20,0))</f>
        <v/>
      </c>
      <c r="I20" s="14">
        <f>IF(G20&gt;=1,"Completado",IF(G20&lt;=0,"Pendiente",IF(G20&gt;=0.85,"Casi listo","En progreso")))</f>
        <v/>
      </c>
      <c r="J20" s="27" t="inlineStr">
        <is>
          <t>Fiel a los bocetos aprobados.</t>
        </is>
      </c>
    </row>
    <row r="21" ht="32" customHeight="1">
      <c r="A21" s="23" t="inlineStr">
        <is>
          <t>R17</t>
        </is>
      </c>
      <c r="B21" s="24" t="inlineStr">
        <is>
          <t>4. Diseño e identidad</t>
        </is>
      </c>
      <c r="C21" s="24" t="inlineStr">
        <is>
          <t>Animación del camión conforme se hace scroll</t>
        </is>
      </c>
      <c r="D21" s="24" t="inlineStr">
        <is>
          <t>Referencia de diseño (elemento distintivo)</t>
        </is>
      </c>
      <c r="E21" s="23" t="inlineStr">
        <is>
          <t>Proveedor</t>
        </is>
      </c>
      <c r="F21" s="9" t="n">
        <v>1</v>
      </c>
      <c r="G21" s="8" t="n">
        <v>0.75</v>
      </c>
      <c r="H21" s="25">
        <f>REPT("█",ROUND(MAX(0,MIN(1,G21))*20,0))&amp;REPT("░",20-ROUND(MAX(0,MIN(1,G21))*20,0))</f>
        <v/>
      </c>
      <c r="I21" s="9">
        <f>IF(G21&gt;=1,"Completado",IF(G21&lt;=0,"Pendiente",IF(G21&gt;=0.85,"Casi listo","En progreso")))</f>
        <v/>
      </c>
      <c r="J21" s="24" t="inlineStr">
        <is>
          <t>Hecho: camión en la barra lateral y camioncito en la barra de km. Falta: que el camión avance con el scroll de forma continua (hoy salta de parada en parada) y que en celular sea más protagonista.</t>
        </is>
      </c>
    </row>
    <row r="22" ht="32" customHeight="1">
      <c r="A22" s="26" t="inlineStr">
        <is>
          <t>R18</t>
        </is>
      </c>
      <c r="B22" s="27" t="inlineStr">
        <is>
          <t>4. Diseño e identidad</t>
        </is>
      </c>
      <c r="C22" s="27" t="inlineStr">
        <is>
          <t>Interacciones visuales dinámicas</t>
        </is>
      </c>
      <c r="D22" s="27" t="inlineStr">
        <is>
          <t>Referencia de diseño</t>
        </is>
      </c>
      <c r="E22" s="26" t="inlineStr">
        <is>
          <t>Proveedor</t>
        </is>
      </c>
      <c r="F22" s="14" t="n">
        <v>1</v>
      </c>
      <c r="G22" s="13" t="n">
        <v>0.9</v>
      </c>
      <c r="H22" s="28">
        <f>REPT("█",ROUND(MAX(0,MIN(1,G22))*20,0))&amp;REPT("░",20-ROUND(MAX(0,MIN(1,G22))*20,0))</f>
        <v/>
      </c>
      <c r="I22" s="14">
        <f>IF(G22&gt;=1,"Completado",IF(G22&lt;=0,"Pendiente",IF(G22&gt;=0.85,"Casi listo","En progreso")))</f>
        <v/>
      </c>
      <c r="J22" s="27" t="inlineStr">
        <is>
          <t>Tarjetas que giran, mapa flotante, contadores, diagrama animado, carruseles.</t>
        </is>
      </c>
    </row>
    <row r="23" ht="32" customHeight="1">
      <c r="A23" s="23" t="inlineStr">
        <is>
          <t>R19</t>
        </is>
      </c>
      <c r="B23" s="24" t="inlineStr">
        <is>
          <t>4. Diseño e identidad</t>
        </is>
      </c>
      <c r="C23" s="24" t="inlineStr">
        <is>
          <t>Jerarquía visual y navegación intuitiva</t>
        </is>
      </c>
      <c r="D23" s="24" t="inlineStr">
        <is>
          <t>Referencia de diseño</t>
        </is>
      </c>
      <c r="E23" s="23" t="inlineStr">
        <is>
          <t>Proveedor</t>
        </is>
      </c>
      <c r="F23" s="9" t="n">
        <v>1</v>
      </c>
      <c r="G23" s="8" t="n">
        <v>0.85</v>
      </c>
      <c r="H23" s="25">
        <f>REPT("█",ROUND(MAX(0,MIN(1,G23))*20,0))&amp;REPT("░",20-ROUND(MAX(0,MIN(1,G23))*20,0))</f>
        <v/>
      </c>
      <c r="I23" s="9">
        <f>IF(G23&gt;=1,"Completado",IF(G23&lt;=0,"Pendiente",IF(G23&gt;=0.85,"Casi listo","En progreso")))</f>
        <v/>
      </c>
      <c r="J23" s="24" t="inlineStr">
        <is>
          <t>Falta completar las secciones de marcador para cerrar el recorrido.</t>
        </is>
      </c>
    </row>
    <row r="24" ht="32" customHeight="1">
      <c r="A24" s="26" t="inlineStr">
        <is>
          <t>R20</t>
        </is>
      </c>
      <c r="B24" s="27" t="inlineStr">
        <is>
          <t>5. Botón de WhatsApp</t>
        </is>
      </c>
      <c r="C24" s="27" t="inlineStr">
        <is>
          <t>Botón flotante visible en todas las páginas</t>
        </is>
      </c>
      <c r="D24" s="27" t="inlineStr">
        <is>
          <t>Funcionalidades / WhatsApp</t>
        </is>
      </c>
      <c r="E24" s="26" t="inlineStr">
        <is>
          <t>Proveedor</t>
        </is>
      </c>
      <c r="F24" s="14" t="n">
        <v>1</v>
      </c>
      <c r="G24" s="13" t="n">
        <v>0</v>
      </c>
      <c r="H24" s="28">
        <f>REPT("█",ROUND(MAX(0,MIN(1,G24))*20,0))&amp;REPT("░",20-ROUND(MAX(0,MIN(1,G24))*20,0))</f>
        <v/>
      </c>
      <c r="I24" s="14">
        <f>IF(G24&gt;=1,"Completado",IF(G24&lt;=0,"Pendiente",IF(G24&gt;=0.85,"Casi listo","En progreso")))</f>
        <v/>
      </c>
      <c r="J24" s="27" t="inlineStr">
        <is>
          <t>Pendiente.</t>
        </is>
      </c>
    </row>
    <row r="25" ht="32" customHeight="1">
      <c r="A25" s="23" t="inlineStr">
        <is>
          <t>R21</t>
        </is>
      </c>
      <c r="B25" s="24" t="inlineStr">
        <is>
          <t>5. Botón de WhatsApp</t>
        </is>
      </c>
      <c r="C25" s="24" t="inlineStr">
        <is>
          <t>Mensaje predefinido según el idioma activo</t>
        </is>
      </c>
      <c r="D25" s="24" t="inlineStr">
        <is>
          <t>Funcionalidades / WhatsApp</t>
        </is>
      </c>
      <c r="E25" s="23" t="inlineStr">
        <is>
          <t>Proveedor + LUTSA</t>
        </is>
      </c>
      <c r="F25" s="9" t="n">
        <v>1</v>
      </c>
      <c r="G25" s="8" t="n">
        <v>0</v>
      </c>
      <c r="H25" s="25">
        <f>REPT("█",ROUND(MAX(0,MIN(1,G25))*20,0))&amp;REPT("░",20-ROUND(MAX(0,MIN(1,G25))*20,0))</f>
        <v/>
      </c>
      <c r="I25" s="9">
        <f>IF(G25&gt;=1,"Completado",IF(G25&lt;=0,"Pendiente",IF(G25&gt;=0.85,"Casi listo","En progreso")))</f>
        <v/>
      </c>
      <c r="J25" s="24" t="inlineStr">
        <is>
          <t>Pendiente. Requiere el número oficial de WhatsApp.</t>
        </is>
      </c>
    </row>
    <row r="26" ht="32" customHeight="1">
      <c r="A26" s="26" t="inlineStr">
        <is>
          <t>R22</t>
        </is>
      </c>
      <c r="B26" s="27" t="inlineStr">
        <is>
          <t>5. Botón de WhatsApp</t>
        </is>
      </c>
      <c r="C26" s="27" t="inlineStr">
        <is>
          <t>Diseño propio, esquina inferior derecha</t>
        </is>
      </c>
      <c r="D26" s="27" t="inlineStr">
        <is>
          <t>Funcionalidades / WhatsApp</t>
        </is>
      </c>
      <c r="E26" s="26" t="inlineStr">
        <is>
          <t>Proveedor</t>
        </is>
      </c>
      <c r="F26" s="14" t="n">
        <v>1</v>
      </c>
      <c r="G26" s="13" t="n">
        <v>0</v>
      </c>
      <c r="H26" s="28">
        <f>REPT("█",ROUND(MAX(0,MIN(1,G26))*20,0))&amp;REPT("░",20-ROUND(MAX(0,MIN(1,G26))*20,0))</f>
        <v/>
      </c>
      <c r="I26" s="14">
        <f>IF(G26&gt;=1,"Completado",IF(G26&lt;=0,"Pendiente",IF(G26&gt;=0.85,"Casi listo","En progreso")))</f>
        <v/>
      </c>
      <c r="J26" s="27" t="inlineStr">
        <is>
          <t>Pendiente (no usar el ícono verde genérico).</t>
        </is>
      </c>
    </row>
    <row r="27" ht="32" customHeight="1">
      <c r="A27" s="23" t="inlineStr">
        <is>
          <t>R23</t>
        </is>
      </c>
      <c r="B27" s="24" t="inlineStr">
        <is>
          <t>6. Formulario / Cotizador</t>
        </is>
      </c>
      <c r="C27" s="24" t="inlineStr">
        <is>
          <t>Formulario avanzado tipo solicitud de cotización</t>
        </is>
      </c>
      <c r="D27" s="24" t="inlineStr">
        <is>
          <t>Funcionalidades / Formulario</t>
        </is>
      </c>
      <c r="E27" s="23" t="inlineStr">
        <is>
          <t>Proveedor</t>
        </is>
      </c>
      <c r="F27" s="9" t="n">
        <v>1</v>
      </c>
      <c r="G27" s="8" t="n">
        <v>0.95</v>
      </c>
      <c r="H27" s="25">
        <f>REPT("█",ROUND(MAX(0,MIN(1,G27))*20,0))&amp;REPT("░",20-ROUND(MAX(0,MIN(1,G27))*20,0))</f>
        <v/>
      </c>
      <c r="I27" s="9">
        <f>IF(G27&gt;=1,"Completado",IF(G27&lt;=0,"Pendiente",IF(G27&gt;=0.85,"Casi listo","En progreso")))</f>
        <v/>
      </c>
      <c r="J27" s="24" t="inlineStr">
        <is>
          <t>Listas con buscador, chips, captcha; falta validar opciones (aduanas, servicios) con LUTSA.</t>
        </is>
      </c>
    </row>
    <row r="28" ht="32" customHeight="1">
      <c r="A28" s="26" t="inlineStr">
        <is>
          <t>R24</t>
        </is>
      </c>
      <c r="B28" s="27" t="inlineStr">
        <is>
          <t>6. Formulario / Cotizador</t>
        </is>
      </c>
      <c r="C28" s="27" t="inlineStr">
        <is>
          <t>Validación de datos antes del envío</t>
        </is>
      </c>
      <c r="D28" s="27" t="inlineStr">
        <is>
          <t>Funcionalidades / Formulario</t>
        </is>
      </c>
      <c r="E28" s="26" t="inlineStr">
        <is>
          <t>Proveedor</t>
        </is>
      </c>
      <c r="F28" s="14" t="n">
        <v>1</v>
      </c>
      <c r="G28" s="13" t="n">
        <v>1</v>
      </c>
      <c r="H28" s="28">
        <f>REPT("█",ROUND(MAX(0,MIN(1,G28))*20,0))&amp;REPT("░",20-ROUND(MAX(0,MIN(1,G28))*20,0))</f>
        <v/>
      </c>
      <c r="I28" s="14">
        <f>IF(G28&gt;=1,"Completado",IF(G28&lt;=0,"Pendiente",IF(G28&gt;=0.85,"Casi listo","En progreso")))</f>
        <v/>
      </c>
      <c r="J28" s="27" t="inlineStr">
        <is>
          <t>Validación en navegador y en el API (límites, limpieza de texto, anti-inyección).</t>
        </is>
      </c>
    </row>
    <row r="29" ht="32" customHeight="1">
      <c r="A29" s="23" t="inlineStr">
        <is>
          <t>R25</t>
        </is>
      </c>
      <c r="B29" s="24" t="inlineStr">
        <is>
          <t>6. Formulario / Cotizador</t>
        </is>
      </c>
      <c r="C29" s="24" t="inlineStr">
        <is>
          <t>Envío de leads al correo del cliente</t>
        </is>
      </c>
      <c r="D29" s="24" t="inlineStr">
        <is>
          <t>Funcionalidades / Formulario</t>
        </is>
      </c>
      <c r="E29" s="23" t="inlineStr">
        <is>
          <t>Proveedor + LUTSA</t>
        </is>
      </c>
      <c r="F29" s="9" t="n">
        <v>1</v>
      </c>
      <c r="G29" s="8" t="n">
        <v>0.7</v>
      </c>
      <c r="H29" s="25">
        <f>REPT("█",ROUND(MAX(0,MIN(1,G29))*20,0))&amp;REPT("░",20-ROUND(MAX(0,MIN(1,G29))*20,0))</f>
        <v/>
      </c>
      <c r="I29" s="9">
        <f>IF(G29&gt;=1,"Completado",IF(G29&lt;=0,"Pendiente",IF(G29&gt;=0.85,"Casi listo","En progreso")))</f>
        <v/>
      </c>
      <c r="J29" s="24" t="inlineStr">
        <is>
          <t>El API ya arma y envía el correo; falta la cuenta de correo (SMTP) de LUTSA.</t>
        </is>
      </c>
    </row>
    <row r="30" ht="32" customHeight="1">
      <c r="A30" s="26" t="inlineStr">
        <is>
          <t>R26</t>
        </is>
      </c>
      <c r="B30" s="27" t="inlineStr">
        <is>
          <t>6. Formulario / Cotizador</t>
        </is>
      </c>
      <c r="C30" s="27" t="inlineStr">
        <is>
          <t>Formulario en español e inglés</t>
        </is>
      </c>
      <c r="D30" s="27" t="inlineStr">
        <is>
          <t>Funcionalidades / Formulario</t>
        </is>
      </c>
      <c r="E30" s="26" t="inlineStr">
        <is>
          <t>Proveedor</t>
        </is>
      </c>
      <c r="F30" s="14" t="n">
        <v>1</v>
      </c>
      <c r="G30" s="13" t="n">
        <v>1</v>
      </c>
      <c r="H30" s="28">
        <f>REPT("█",ROUND(MAX(0,MIN(1,G30))*20,0))&amp;REPT("░",20-ROUND(MAX(0,MIN(1,G30))*20,0))</f>
        <v/>
      </c>
      <c r="I30" s="14">
        <f>IF(G30&gt;=1,"Completado",IF(G30&lt;=0,"Pendiente",IF(G30&gt;=0.85,"Casi listo","En progreso")))</f>
        <v/>
      </c>
      <c r="J30" s="27" t="inlineStr">
        <is>
          <t>Hecho.</t>
        </is>
      </c>
    </row>
    <row r="31" ht="32" customHeight="1">
      <c r="A31" s="23" t="inlineStr">
        <is>
          <t>R27</t>
        </is>
      </c>
      <c r="B31" s="24" t="inlineStr">
        <is>
          <t>6. Formulario / Cotizador</t>
        </is>
      </c>
      <c r="C31" s="24" t="inlineStr">
        <is>
          <t>Preparado para CRM (API + MongoDB)</t>
        </is>
      </c>
      <c r="D31" s="24" t="inlineStr">
        <is>
          <t>Funcionalidades / Formulario</t>
        </is>
      </c>
      <c r="E31" s="23" t="inlineStr">
        <is>
          <t>Proveedor</t>
        </is>
      </c>
      <c r="F31" s="9" t="n">
        <v>1</v>
      </c>
      <c r="G31" s="8" t="n">
        <v>0.9</v>
      </c>
      <c r="H31" s="25">
        <f>REPT("█",ROUND(MAX(0,MIN(1,G31))*20,0))&amp;REPT("░",20-ROUND(MAX(0,MIN(1,G31))*20,0))</f>
        <v/>
      </c>
      <c r="I31" s="9">
        <f>IF(G31&gt;=1,"Completado",IF(G31&lt;=0,"Pendiente",IF(G31&gt;=0.85,"Casi listo","En progreso")))</f>
        <v/>
      </c>
      <c r="J31" s="24" t="inlineStr">
        <is>
          <t>Solicitudes guardadas en MongoDB; falta conector al CRM elegido.</t>
        </is>
      </c>
    </row>
    <row r="32" ht="32" customHeight="1">
      <c r="A32" s="26" t="inlineStr">
        <is>
          <t>R28</t>
        </is>
      </c>
      <c r="B32" s="27" t="inlineStr">
        <is>
          <t>6. Formulario / Cotizador</t>
        </is>
      </c>
      <c r="C32" s="27" t="inlineStr">
        <is>
          <t>Protección anti-spam (No soy un robot)</t>
        </is>
      </c>
      <c r="D32" s="27" t="inlineStr">
        <is>
          <t>Buenas prácticas</t>
        </is>
      </c>
      <c r="E32" s="26" t="inlineStr">
        <is>
          <t>Proveedor + LUTSA</t>
        </is>
      </c>
      <c r="F32" s="14" t="n">
        <v>1</v>
      </c>
      <c r="G32" s="13" t="n">
        <v>0.8</v>
      </c>
      <c r="H32" s="28">
        <f>REPT("█",ROUND(MAX(0,MIN(1,G32))*20,0))&amp;REPT("░",20-ROUND(MAX(0,MIN(1,G32))*20,0))</f>
        <v/>
      </c>
      <c r="I32" s="14">
        <f>IF(G32&gt;=1,"Completado",IF(G32&lt;=0,"Pendiente",IF(G32&gt;=0.85,"Casi listo","En progreso")))</f>
        <v/>
      </c>
      <c r="J32" s="27" t="inlineStr">
        <is>
          <t>Funciona con claves de prueba; faltan claves reales de reCAPTCHA del dominio lutsa.mx.</t>
        </is>
      </c>
    </row>
    <row r="33" ht="32" customHeight="1">
      <c r="A33" s="23" t="inlineStr">
        <is>
          <t>R29</t>
        </is>
      </c>
      <c r="B33" s="24" t="inlineStr">
        <is>
          <t>7. Rendimiento y adaptabilidad</t>
        </is>
      </c>
      <c r="C33" s="24" t="inlineStr">
        <is>
          <t>100 % responsivo: móvil, tablet y escritorio</t>
        </is>
      </c>
      <c r="D33" s="24" t="inlineStr">
        <is>
          <t>Rendimiento y adaptabilidad</t>
        </is>
      </c>
      <c r="E33" s="23" t="inlineStr">
        <is>
          <t>Proveedor</t>
        </is>
      </c>
      <c r="F33" s="9" t="n">
        <v>1</v>
      </c>
      <c r="G33" s="8" t="n">
        <v>0.85</v>
      </c>
      <c r="H33" s="25">
        <f>REPT("█",ROUND(MAX(0,MIN(1,G33))*20,0))&amp;REPT("░",20-ROUND(MAX(0,MIN(1,G33))*20,0))</f>
        <v/>
      </c>
      <c r="I33" s="9">
        <f>IF(G33&gt;=1,"Completado",IF(G33&lt;=0,"Pendiente",IF(G33&gt;=0.85,"Casi listo","En progreso")))</f>
        <v/>
      </c>
      <c r="J33" s="24" t="inlineStr">
        <is>
          <t>Ajustadas 7 de 8 secciones; falta Galería (aún es marcador).</t>
        </is>
      </c>
    </row>
    <row r="34" ht="32" customHeight="1">
      <c r="A34" s="26" t="inlineStr">
        <is>
          <t>R30</t>
        </is>
      </c>
      <c r="B34" s="27" t="inlineStr">
        <is>
          <t>7. Rendimiento y adaptabilidad</t>
        </is>
      </c>
      <c r="C34" s="27" t="inlineStr">
        <is>
          <t>Optimización de carga y rendimiento</t>
        </is>
      </c>
      <c r="D34" s="27" t="inlineStr">
        <is>
          <t>Rendimiento y adaptabilidad</t>
        </is>
      </c>
      <c r="E34" s="26" t="inlineStr">
        <is>
          <t>Proveedor</t>
        </is>
      </c>
      <c r="F34" s="14" t="n">
        <v>1</v>
      </c>
      <c r="G34" s="13" t="n">
        <v>0.8</v>
      </c>
      <c r="H34" s="28">
        <f>REPT("█",ROUND(MAX(0,MIN(1,G34))*20,0))&amp;REPT("░",20-ROUND(MAX(0,MIN(1,G34))*20,0))</f>
        <v/>
      </c>
      <c r="I34" s="14">
        <f>IF(G34&gt;=1,"Completado",IF(G34&lt;=0,"Pendiente",IF(G34&gt;=0.85,"Casi listo","En progreso")))</f>
        <v/>
      </c>
      <c r="J34" s="27" t="inlineStr">
        <is>
          <t>Hecho: imágenes en WebP (de 6.9 MB a 0.6 MB), carga diferida y 35 MB sin uso archivados. Falta medir con Lighthouse en el hosting real.</t>
        </is>
      </c>
    </row>
    <row r="35" ht="32" customHeight="1">
      <c r="A35" s="23" t="inlineStr">
        <is>
          <t>R31</t>
        </is>
      </c>
      <c r="B35" s="24" t="inlineStr">
        <is>
          <t>8. SEO y buenas prácticas</t>
        </is>
      </c>
      <c r="C35" s="24" t="inlineStr">
        <is>
          <t>Títulos y metadescripciones en ambos idiomas</t>
        </is>
      </c>
      <c r="D35" s="24" t="inlineStr">
        <is>
          <t>SEO</t>
        </is>
      </c>
      <c r="E35" s="23" t="inlineStr">
        <is>
          <t>Proveedor</t>
        </is>
      </c>
      <c r="F35" s="9" t="n">
        <v>1</v>
      </c>
      <c r="G35" s="8" t="n">
        <v>0.9</v>
      </c>
      <c r="H35" s="25">
        <f>REPT("█",ROUND(MAX(0,MIN(1,G35))*20,0))&amp;REPT("░",20-ROUND(MAX(0,MIN(1,G35))*20,0))</f>
        <v/>
      </c>
      <c r="I35" s="9">
        <f>IF(G35&gt;=1,"Completado",IF(G35&lt;=0,"Pendiente",IF(G35&gt;=0.85,"Casi listo","En progreso")))</f>
        <v/>
      </c>
      <c r="J35" s="24" t="inlineStr">
        <is>
          <t>Hecho: título y descripción por sección en ES y EN, canonical, Open Graph e imagen de vista previa de LUTSA. Falta validar con Google Search Console.</t>
        </is>
      </c>
    </row>
    <row r="36" ht="32" customHeight="1">
      <c r="A36" s="26" t="inlineStr">
        <is>
          <t>R32</t>
        </is>
      </c>
      <c r="B36" s="27" t="inlineStr">
        <is>
          <t>8. SEO y buenas prácticas</t>
        </is>
      </c>
      <c r="C36" s="27" t="inlineStr">
        <is>
          <t>Etiquetas alt en imágenes (ES / EN)</t>
        </is>
      </c>
      <c r="D36" s="27" t="inlineStr">
        <is>
          <t>SEO</t>
        </is>
      </c>
      <c r="E36" s="26" t="inlineStr">
        <is>
          <t>Proveedor</t>
        </is>
      </c>
      <c r="F36" s="14" t="n">
        <v>1</v>
      </c>
      <c r="G36" s="13" t="n">
        <v>0.6</v>
      </c>
      <c r="H36" s="28">
        <f>REPT("█",ROUND(MAX(0,MIN(1,G36))*20,0))&amp;REPT("░",20-ROUND(MAX(0,MIN(1,G36))*20,0))</f>
        <v/>
      </c>
      <c r="I36" s="14">
        <f>IF(G36&gt;=1,"Completado",IF(G36&lt;=0,"Pendiente",IF(G36&gt;=0.85,"Casi listo","En progreso")))</f>
        <v/>
      </c>
      <c r="J36" s="27" t="inlineStr">
        <is>
          <t>Imágenes principales traducidas; faltan revisar las decorativas y las de marcador.</t>
        </is>
      </c>
    </row>
    <row r="37" ht="32" customHeight="1">
      <c r="A37" s="23" t="inlineStr">
        <is>
          <t>R33</t>
        </is>
      </c>
      <c r="B37" s="24" t="inlineStr">
        <is>
          <t>8. SEO y buenas prácticas</t>
        </is>
      </c>
      <c r="C37" s="24" t="inlineStr">
        <is>
          <t>Palabras clave del sector transporte / logística</t>
        </is>
      </c>
      <c r="D37" s="24" t="inlineStr">
        <is>
          <t>SEO</t>
        </is>
      </c>
      <c r="E37" s="23" t="inlineStr">
        <is>
          <t>Proveedor + LUTSA</t>
        </is>
      </c>
      <c r="F37" s="9" t="n">
        <v>1</v>
      </c>
      <c r="G37" s="8" t="n">
        <v>0.55</v>
      </c>
      <c r="H37" s="25">
        <f>REPT("█",ROUND(MAX(0,MIN(1,G37))*20,0))&amp;REPT("░",20-ROUND(MAX(0,MIN(1,G37))*20,0))</f>
        <v/>
      </c>
      <c r="I37" s="9">
        <f>IF(G37&gt;=1,"Completado",IF(G37&lt;=0,"Pendiente",IF(G37&gt;=0.85,"Casi listo","En progreso")))</f>
        <v/>
      </c>
      <c r="J37" s="24" t="inlineStr">
        <is>
          <t>Hecho: lista inicial en ES/EN en los metadatos. Falta que LUTSA valide las palabras y usarlas en los textos visibles.</t>
        </is>
      </c>
    </row>
    <row r="38" ht="32" customHeight="1">
      <c r="A38" s="26" t="inlineStr">
        <is>
          <t>R34</t>
        </is>
      </c>
      <c r="B38" s="27" t="inlineStr">
        <is>
          <t>8. SEO y buenas prácticas</t>
        </is>
      </c>
      <c r="C38" s="27" t="inlineStr">
        <is>
          <t>Estructura semántica H1, H2, H3</t>
        </is>
      </c>
      <c r="D38" s="27" t="inlineStr">
        <is>
          <t>SEO</t>
        </is>
      </c>
      <c r="E38" s="26" t="inlineStr">
        <is>
          <t>Proveedor</t>
        </is>
      </c>
      <c r="F38" s="14" t="n">
        <v>1</v>
      </c>
      <c r="G38" s="13" t="n">
        <v>0.7</v>
      </c>
      <c r="H38" s="28">
        <f>REPT("█",ROUND(MAX(0,MIN(1,G38))*20,0))&amp;REPT("░",20-ROUND(MAX(0,MIN(1,G38))*20,0))</f>
        <v/>
      </c>
      <c r="I38" s="14">
        <f>IF(G38&gt;=1,"Completado",IF(G38&lt;=0,"Pendiente",IF(G38&gt;=0.85,"Casi listo","En progreso")))</f>
        <v/>
      </c>
      <c r="J38" s="27" t="inlineStr">
        <is>
          <t>H1 en inicio y H2 por sección; falta revisar H3 y las secciones nuevas.</t>
        </is>
      </c>
    </row>
    <row r="39" ht="32" customHeight="1">
      <c r="A39" s="23" t="inlineStr">
        <is>
          <t>R35</t>
        </is>
      </c>
      <c r="B39" s="24" t="inlineStr">
        <is>
          <t>8. SEO y buenas prácticas</t>
        </is>
      </c>
      <c r="C39" s="24" t="inlineStr">
        <is>
          <t>URLs limpias y amigables con hreflang</t>
        </is>
      </c>
      <c r="D39" s="24" t="inlineStr">
        <is>
          <t>SEO</t>
        </is>
      </c>
      <c r="E39" s="23" t="inlineStr">
        <is>
          <t>Proveedor</t>
        </is>
      </c>
      <c r="F39" s="9" t="n">
        <v>1</v>
      </c>
      <c r="G39" s="8" t="n">
        <v>0.85</v>
      </c>
      <c r="H39" s="25">
        <f>REPT("█",ROUND(MAX(0,MIN(1,G39))*20,0))&amp;REPT("░",20-ROUND(MAX(0,MIN(1,G39))*20,0))</f>
        <v/>
      </c>
      <c r="I39" s="9">
        <f>IF(G39&gt;=1,"Completado",IF(G39&lt;=0,"Pendiente",IF(G39&gt;=0.85,"Casi listo","En progreso")))</f>
        <v/>
      </c>
      <c r="J39" s="24" t="inlineStr">
        <is>
          <t>Hecho: rutas limpias, hreflang es-MX/en/x-default, sitemap.xml y robots.txt generados al compilar.</t>
        </is>
      </c>
    </row>
    <row r="40" ht="32" customHeight="1">
      <c r="A40" s="26" t="inlineStr">
        <is>
          <t>R36</t>
        </is>
      </c>
      <c r="B40" s="27" t="inlineStr">
        <is>
          <t>8. SEO y buenas prácticas</t>
        </is>
      </c>
      <c r="C40" s="27" t="inlineStr">
        <is>
          <t>Visible para Google sin ejecutar JavaScript (prerender)</t>
        </is>
      </c>
      <c r="D40" s="27" t="inlineStr">
        <is>
          <t>SEO</t>
        </is>
      </c>
      <c r="E40" s="26" t="inlineStr">
        <is>
          <t>Proveedor</t>
        </is>
      </c>
      <c r="F40" s="14" t="n">
        <v>1</v>
      </c>
      <c r="G40" s="13" t="n">
        <v>0.6</v>
      </c>
      <c r="H40" s="28">
        <f>REPT("█",ROUND(MAX(0,MIN(1,G40))*20,0))&amp;REPT("░",20-ROUND(MAX(0,MIN(1,G40))*20,0))</f>
        <v/>
      </c>
      <c r="I40" s="14">
        <f>IF(G40&gt;=1,"Completado",IF(G40&lt;=0,"Pendiente",IF(G40&gt;=0.85,"Casi listo","En progreso")))</f>
        <v/>
      </c>
      <c r="J40" s="27" t="inlineStr">
        <is>
          <t>Hecho: cada ruta tiene su HTML con metadatos y datos estructurados. Falta renderizar también el contenido (SSR/prerender completo) si Search Console lo pide.</t>
        </is>
      </c>
    </row>
    <row r="41" ht="32" customHeight="1">
      <c r="A41" s="23" t="inlineStr">
        <is>
          <t>R37</t>
        </is>
      </c>
      <c r="B41" s="24" t="inlineStr">
        <is>
          <t>8. SEO y buenas prácticas</t>
        </is>
      </c>
      <c r="C41" s="24" t="inlineStr">
        <is>
          <t>Vista previa al compartir el enlace (WhatsApp, redes)</t>
        </is>
      </c>
      <c r="D41" s="24" t="inlineStr">
        <is>
          <t>SEO</t>
        </is>
      </c>
      <c r="E41" s="23" t="inlineStr">
        <is>
          <t>Proveedor</t>
        </is>
      </c>
      <c r="F41" s="9" t="n">
        <v>1</v>
      </c>
      <c r="G41" s="8" t="n">
        <v>1</v>
      </c>
      <c r="H41" s="25">
        <f>REPT("█",ROUND(MAX(0,MIN(1,G41))*20,0))&amp;REPT("░",20-ROUND(MAX(0,MIN(1,G41))*20,0))</f>
        <v/>
      </c>
      <c r="I41" s="9">
        <f>IF(G41&gt;=1,"Completado",IF(G41&lt;=0,"Pendiente",IF(G41&gt;=0.85,"Casi listo","En progreso")))</f>
        <v/>
      </c>
      <c r="J41" s="24" t="inlineStr">
        <is>
          <t>Hecho: imagen de LUTSA (antes mostraba la de Bolt) en español e inglés.</t>
        </is>
      </c>
    </row>
    <row r="42" ht="32" customHeight="1">
      <c r="A42" s="26" t="inlineStr">
        <is>
          <t>R38</t>
        </is>
      </c>
      <c r="B42" s="27" t="inlineStr">
        <is>
          <t>9. Backend API (LUTSA-CORE)</t>
        </is>
      </c>
      <c r="C42" s="27" t="inlineStr">
        <is>
          <t>Estructura estándar, Swagger y errores RFC 9457</t>
        </is>
      </c>
      <c r="D42" s="27" t="inlineStr">
        <is>
          <t>Base para integraciones</t>
        </is>
      </c>
      <c r="E42" s="26" t="inlineStr">
        <is>
          <t>Proveedor</t>
        </is>
      </c>
      <c r="F42" s="14" t="n">
        <v>1</v>
      </c>
      <c r="G42" s="13" t="n">
        <v>1</v>
      </c>
      <c r="H42" s="28">
        <f>REPT("█",ROUND(MAX(0,MIN(1,G42))*20,0))&amp;REPT("░",20-ROUND(MAX(0,MIN(1,G42))*20,0))</f>
        <v/>
      </c>
      <c r="I42" s="14">
        <f>IF(G42&gt;=1,"Completado",IF(G42&lt;=0,"Pendiente",IF(G42&gt;=0.85,"Casi listo","En progreso")))</f>
        <v/>
      </c>
      <c r="J42" s="27" t="inlineStr">
        <is>
          <t>Hecho.</t>
        </is>
      </c>
    </row>
    <row r="43" ht="32" customHeight="1">
      <c r="A43" s="23" t="inlineStr">
        <is>
          <t>R39</t>
        </is>
      </c>
      <c r="B43" s="24" t="inlineStr">
        <is>
          <t>9. Backend API (LUTSA-CORE)</t>
        </is>
      </c>
      <c r="C43" s="24" t="inlineStr">
        <is>
          <t>Endpoint de cotizaciones con seguridad</t>
        </is>
      </c>
      <c r="D43" s="24" t="inlineStr">
        <is>
          <t>Formulario / Buenas prácticas</t>
        </is>
      </c>
      <c r="E43" s="23" t="inlineStr">
        <is>
          <t>Proveedor</t>
        </is>
      </c>
      <c r="F43" s="9" t="n">
        <v>1</v>
      </c>
      <c r="G43" s="8" t="n">
        <v>1</v>
      </c>
      <c r="H43" s="25">
        <f>REPT("█",ROUND(MAX(0,MIN(1,G43))*20,0))&amp;REPT("░",20-ROUND(MAX(0,MIN(1,G43))*20,0))</f>
        <v/>
      </c>
      <c r="I43" s="9">
        <f>IF(G43&gt;=1,"Completado",IF(G43&lt;=0,"Pendiente",IF(G43&gt;=0.85,"Casi listo","En progreso")))</f>
        <v/>
      </c>
      <c r="J43" s="24" t="inlineStr">
        <is>
          <t>Validación, reCAPTCHA, límite por IP, API key interna.</t>
        </is>
      </c>
    </row>
    <row r="44" ht="32" customHeight="1">
      <c r="A44" s="26" t="inlineStr">
        <is>
          <t>R40</t>
        </is>
      </c>
      <c r="B44" s="27" t="inlineStr">
        <is>
          <t>9. Backend API (LUTSA-CORE)</t>
        </is>
      </c>
      <c r="C44" s="27" t="inlineStr">
        <is>
          <t>Persistencia en MongoDB y bitácora</t>
        </is>
      </c>
      <c r="D44" s="27" t="inlineStr">
        <is>
          <t>Base para integraciones</t>
        </is>
      </c>
      <c r="E44" s="26" t="inlineStr">
        <is>
          <t>Proveedor</t>
        </is>
      </c>
      <c r="F44" s="14" t="n">
        <v>1</v>
      </c>
      <c r="G44" s="13" t="n">
        <v>0.95</v>
      </c>
      <c r="H44" s="28">
        <f>REPT("█",ROUND(MAX(0,MIN(1,G44))*20,0))&amp;REPT("░",20-ROUND(MAX(0,MIN(1,G44))*20,0))</f>
        <v/>
      </c>
      <c r="I44" s="14">
        <f>IF(G44&gt;=1,"Completado",IF(G44&lt;=0,"Pendiente",IF(G44&gt;=0.85,"Casi listo","En progreso")))</f>
        <v/>
      </c>
      <c r="J44" s="27" t="inlineStr">
        <is>
          <t>Falta la base de datos de producción.</t>
        </is>
      </c>
    </row>
    <row r="45" ht="32" customHeight="1">
      <c r="A45" s="23" t="inlineStr">
        <is>
          <t>R41</t>
        </is>
      </c>
      <c r="B45" s="24" t="inlineStr">
        <is>
          <t>9. Backend API (LUTSA-CORE)</t>
        </is>
      </c>
      <c r="C45" s="24" t="inlineStr">
        <is>
          <t>Pruebas automatizadas</t>
        </is>
      </c>
      <c r="D45" s="24" t="inlineStr">
        <is>
          <t>Buenas prácticas</t>
        </is>
      </c>
      <c r="E45" s="23" t="inlineStr">
        <is>
          <t>Proveedor</t>
        </is>
      </c>
      <c r="F45" s="9" t="n">
        <v>1</v>
      </c>
      <c r="G45" s="8" t="n">
        <v>1</v>
      </c>
      <c r="H45" s="25">
        <f>REPT("█",ROUND(MAX(0,MIN(1,G45))*20,0))&amp;REPT("░",20-ROUND(MAX(0,MIN(1,G45))*20,0))</f>
        <v/>
      </c>
      <c r="I45" s="9">
        <f>IF(G45&gt;=1,"Completado",IF(G45&lt;=0,"Pendiente",IF(G45&gt;=0.85,"Casi listo","En progreso")))</f>
        <v/>
      </c>
      <c r="J45" s="24" t="inlineStr">
        <is>
          <t>61 pruebas, cobertura ~91 %.</t>
        </is>
      </c>
    </row>
    <row r="46" ht="32" customHeight="1">
      <c r="A46" s="26" t="inlineStr">
        <is>
          <t>R42</t>
        </is>
      </c>
      <c r="B46" s="27" t="inlineStr">
        <is>
          <t>9. Backend API (LUTSA-CORE)</t>
        </is>
      </c>
      <c r="C46" s="27" t="inlineStr">
        <is>
          <t>Docker y flujo de despliegue (CI/CD)</t>
        </is>
      </c>
      <c r="D46" s="27" t="inlineStr">
        <is>
          <t>Buenas prácticas</t>
        </is>
      </c>
      <c r="E46" s="26" t="inlineStr">
        <is>
          <t>Proveedor</t>
        </is>
      </c>
      <c r="F46" s="14" t="n">
        <v>1</v>
      </c>
      <c r="G46" s="13" t="n">
        <v>0.8</v>
      </c>
      <c r="H46" s="28">
        <f>REPT("█",ROUND(MAX(0,MIN(1,G46))*20,0))&amp;REPT("░",20-ROUND(MAX(0,MIN(1,G46))*20,0))</f>
        <v/>
      </c>
      <c r="I46" s="14">
        <f>IF(G46&gt;=1,"Completado",IF(G46&lt;=0,"Pendiente",IF(G46&gt;=0.85,"Casi listo","En progreso")))</f>
        <v/>
      </c>
      <c r="J46" s="27" t="inlineStr">
        <is>
          <t>Listos; falta configurar la nube (AWS u otro proveedor).</t>
        </is>
      </c>
    </row>
    <row r="47" ht="32" customHeight="1">
      <c r="A47" s="23" t="inlineStr">
        <is>
          <t>R43</t>
        </is>
      </c>
      <c r="B47" s="24" t="inlineStr">
        <is>
          <t>9. Backend API (LUTSA-CORE)</t>
        </is>
      </c>
      <c r="C47" s="24" t="inlineStr">
        <is>
          <t>API desplegada en producción</t>
        </is>
      </c>
      <c r="D47" s="24" t="inlineStr">
        <is>
          <t>Entregables</t>
        </is>
      </c>
      <c r="E47" s="23" t="inlineStr">
        <is>
          <t>Proveedor + LUTSA</t>
        </is>
      </c>
      <c r="F47" s="9" t="n">
        <v>1</v>
      </c>
      <c r="G47" s="8" t="n">
        <v>0</v>
      </c>
      <c r="H47" s="25">
        <f>REPT("█",ROUND(MAX(0,MIN(1,G47))*20,0))&amp;REPT("░",20-ROUND(MAX(0,MIN(1,G47))*20,0))</f>
        <v/>
      </c>
      <c r="I47" s="9">
        <f>IF(G47&gt;=1,"Completado",IF(G47&lt;=0,"Pendiente",IF(G47&gt;=0.85,"Casi listo","En progreso")))</f>
        <v/>
      </c>
      <c r="J47" s="24" t="inlineStr">
        <is>
          <t>Pendiente: servidor, dominio (ej. api.lutsa.mx) y variables de producción.</t>
        </is>
      </c>
    </row>
    <row r="48" ht="32" customHeight="1">
      <c r="A48" s="26" t="inlineStr">
        <is>
          <t>R44</t>
        </is>
      </c>
      <c r="B48" s="27" t="inlineStr">
        <is>
          <t>10. Entregables</t>
        </is>
      </c>
      <c r="C48" s="27" t="inlineStr">
        <is>
          <t>Sitio publicado y funcional en lutsa.mx (ES / EN)</t>
        </is>
      </c>
      <c r="D48" s="27" t="inlineStr">
        <is>
          <t>Lo que el proveedor debe entregar</t>
        </is>
      </c>
      <c r="E48" s="26" t="inlineStr">
        <is>
          <t>Proveedor + LUTSA</t>
        </is>
      </c>
      <c r="F48" s="14" t="n">
        <v>1</v>
      </c>
      <c r="G48" s="13" t="n">
        <v>0.1</v>
      </c>
      <c r="H48" s="28">
        <f>REPT("█",ROUND(MAX(0,MIN(1,G48))*20,0))&amp;REPT("░",20-ROUND(MAX(0,MIN(1,G48))*20,0))</f>
        <v/>
      </c>
      <c r="I48" s="14">
        <f>IF(G48&gt;=1,"Completado",IF(G48&lt;=0,"Pendiente",IF(G48&gt;=0.85,"Casi listo","En progreso")))</f>
        <v/>
      </c>
      <c r="J48" s="27" t="inlineStr">
        <is>
          <t>Pendiente: acceso a hosting y dominio, y terminar secciones faltantes.</t>
        </is>
      </c>
    </row>
    <row r="49" ht="32" customHeight="1">
      <c r="A49" s="23" t="inlineStr">
        <is>
          <t>R45</t>
        </is>
      </c>
      <c r="B49" s="24" t="inlineStr">
        <is>
          <t>10. Entregables</t>
        </is>
      </c>
      <c r="C49" s="24" t="inlineStr">
        <is>
          <t>Subir el código al repositorio del cliente</t>
        </is>
      </c>
      <c r="D49" s="24" t="inlineStr">
        <is>
          <t>Lo que el proveedor debe entregar</t>
        </is>
      </c>
      <c r="E49" s="23" t="inlineStr">
        <is>
          <t>Proveedor + LUTSA</t>
        </is>
      </c>
      <c r="F49" s="9" t="n">
        <v>1</v>
      </c>
      <c r="G49" s="8" t="n">
        <v>0</v>
      </c>
      <c r="H49" s="25">
        <f>REPT("█",ROUND(MAX(0,MIN(1,G49))*20,0))&amp;REPT("░",20-ROUND(MAX(0,MIN(1,G49))*20,0))</f>
        <v/>
      </c>
      <c r="I49" s="9">
        <f>IF(G49&gt;=1,"Completado",IF(G49&lt;=0,"Pendiente",IF(G49&gt;=0.85,"Casi listo","En progreso")))</f>
        <v/>
      </c>
      <c r="J49" s="24" t="inlineStr">
        <is>
          <t>Pendiente: LUTSA debe indicar el repositorio (GitHub/GitLab) y dar acceso; transferir código, README y hoja técnica.</t>
        </is>
      </c>
    </row>
    <row r="50" ht="32" customHeight="1">
      <c r="A50" s="26" t="inlineStr">
        <is>
          <t>R46</t>
        </is>
      </c>
      <c r="B50" s="27" t="inlineStr">
        <is>
          <t>10. Entregables</t>
        </is>
      </c>
      <c r="C50" s="27" t="inlineStr">
        <is>
          <t>Hoja técnica / documentación (ES y EN)</t>
        </is>
      </c>
      <c r="D50" s="27" t="inlineStr">
        <is>
          <t>Lo que el proveedor debe entregar</t>
        </is>
      </c>
      <c r="E50" s="26" t="inlineStr">
        <is>
          <t>Proveedor</t>
        </is>
      </c>
      <c r="F50" s="14" t="n">
        <v>1</v>
      </c>
      <c r="G50" s="13" t="n">
        <v>0.6</v>
      </c>
      <c r="H50" s="28">
        <f>REPT("█",ROUND(MAX(0,MIN(1,G50))*20,0))&amp;REPT("░",20-ROUND(MAX(0,MIN(1,G50))*20,0))</f>
        <v/>
      </c>
      <c r="I50" s="14">
        <f>IF(G50&gt;=1,"Completado",IF(G50&lt;=0,"Pendiente",IF(G50&gt;=0.85,"Casi listo","En progreso")))</f>
        <v/>
      </c>
      <c r="J50" s="27" t="inlineStr">
        <is>
          <t>Hecho: README de landing y de API en español. Falta la versión en inglés y la hoja técnica (arquitectura, despliegue, variables, mantenimiento).</t>
        </is>
      </c>
    </row>
    <row r="51" ht="32" customHeight="1">
      <c r="A51" s="23" t="inlineStr">
        <is>
          <t>R47</t>
        </is>
      </c>
      <c r="B51" s="24" t="inlineStr">
        <is>
          <t>10. Entregables</t>
        </is>
      </c>
      <c r="C51" s="24" t="inlineStr">
        <is>
          <t>Código fuente organizado y documentado</t>
        </is>
      </c>
      <c r="D51" s="24" t="inlineStr">
        <is>
          <t>Lo que el proveedor debe entregar</t>
        </is>
      </c>
      <c r="E51" s="23" t="inlineStr">
        <is>
          <t>Proveedor</t>
        </is>
      </c>
      <c r="F51" s="9" t="n">
        <v>1</v>
      </c>
      <c r="G51" s="8" t="n">
        <v>0.85</v>
      </c>
      <c r="H51" s="25">
        <f>REPT("█",ROUND(MAX(0,MIN(1,G51))*20,0))&amp;REPT("░",20-ROUND(MAX(0,MIN(1,G51))*20,0))</f>
        <v/>
      </c>
      <c r="I51" s="9">
        <f>IF(G51&gt;=1,"Completado",IF(G51&lt;=0,"Pendiente",IF(G51&gt;=0.85,"Casi listo","En progreso")))</f>
        <v/>
      </c>
      <c r="J51" s="24" t="inlineStr">
        <is>
          <t>README de landing y API; falta guía de despliegue final.</t>
        </is>
      </c>
    </row>
    <row r="53">
      <c r="C53" s="29" t="inlineStr">
        <is>
          <t>AVANCE TOTAL DEL PROYECTO (ponderado por «Peso»)</t>
        </is>
      </c>
      <c r="G53" s="30">
        <f>SUMPRODUCT(F5:F51,G5:G51)/SUM(F5:F51)</f>
        <v/>
      </c>
      <c r="H53">
        <f>REPT("█",ROUND(MAX(0,MIN(1,G53))*20,0))&amp;REPT("░",20-ROUND(MAX(0,MIN(1,G53))*20,0))</f>
        <v/>
      </c>
    </row>
  </sheetData>
  <autoFilter ref="A4:J51"/>
  <mergeCells count="2">
    <mergeCell ref="A1:J1"/>
    <mergeCell ref="A2:J2"/>
  </mergeCells>
  <conditionalFormatting sqref="H5:H51">
    <cfRule type="expression" priority="1" dxfId="0">
      <formula>AND($G5&gt;=0,$G5&lt;=0.39999)</formula>
    </cfRule>
    <cfRule type="expression" priority="2" dxfId="1">
      <formula>AND($G5&gt;=0.4,$G5&lt;=0.64999)</formula>
    </cfRule>
    <cfRule type="expression" priority="3" dxfId="2">
      <formula>AND($G5&gt;=0.65,$G5&lt;=0.84999)</formula>
    </cfRule>
    <cfRule type="expression" priority="4" dxfId="3">
      <formula>AND($G5&gt;=0.85,$G5&lt;=2)</formula>
    </cfRule>
  </conditionalFormatting>
  <conditionalFormatting sqref="G5:G51">
    <cfRule type="colorScale" priority="5">
      <colorScale>
        <cfvo type="num" val="0"/>
        <cfvo type="num" val="0.6"/>
        <cfvo type="num" val="1"/>
        <color rgb="00D6E0FF"/>
        <color rgb="00FFF1E6"/>
        <color rgb="00FBC59A"/>
      </colorScale>
    </cfRule>
  </conditionalFormatting>
  <conditionalFormatting sqref="I5:I51">
    <cfRule type="expression" priority="6" dxfId="4">
      <formula>$I5="Completado"</formula>
    </cfRule>
    <cfRule type="expression" priority="7" dxfId="5">
      <formula>$I5="Casi listo"</formula>
    </cfRule>
    <cfRule type="expression" priority="8" dxfId="6">
      <formula>$I5="En progreso"</formula>
    </cfRule>
    <cfRule type="expression" priority="9" dxfId="7">
      <formula>$I5="Pendiente"</formula>
    </cfRule>
  </conditionalFormatting>
  <conditionalFormatting sqref="H53">
    <cfRule type="expression" priority="10" dxfId="0">
      <formula>AND($G53&gt;=0,$G53&lt;=0.39999)</formula>
    </cfRule>
    <cfRule type="expression" priority="11" dxfId="1">
      <formula>AND($G53&gt;=0.4,$G53&lt;=0.64999)</formula>
    </cfRule>
    <cfRule type="expression" priority="12" dxfId="2">
      <formula>AND($G53&gt;=0.65,$G53&lt;=0.84999)</formula>
    </cfRule>
    <cfRule type="expression" priority="13" dxfId="3">
      <formula>AND($G53&gt;=0.85,$G53&lt;=2)</formula>
    </cfRule>
  </conditionalFormatting>
  <dataValidations count="1">
    <dataValidation sqref="G5:G51" showErrorMessage="1" showInputMessage="1" allowBlank="0" errorTitle="Avance" error="Escribe un porcentaje entre 0 % y 100 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1874"/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6" customWidth="1" min="3" max="3"/>
    <col width="50" customWidth="1" min="4" max="4"/>
  </cols>
  <sheetData>
    <row r="1" ht="36" customHeight="1">
      <c r="A1" s="1" t="inlineStr">
        <is>
          <t>Materiales que LUTSA entrega al proveedor</t>
        </is>
      </c>
    </row>
    <row r="2" ht="20" customHeight="1">
      <c r="A2" s="2" t="inlineStr">
        <is>
          <t>Dependencias: mientras estén pendientes, bloquean actividades del backlog</t>
        </is>
      </c>
    </row>
    <row r="4" ht="30" customHeight="1">
      <c r="A4" s="6" t="inlineStr">
        <is>
          <t>Material</t>
        </is>
      </c>
      <c r="B4" s="6" t="inlineStr">
        <is>
          <t>Para qué se necesita</t>
        </is>
      </c>
      <c r="C4" s="6" t="inlineStr">
        <is>
          <t>Estado</t>
        </is>
      </c>
      <c r="D4" s="6" t="inlineStr">
        <is>
          <t>Notas</t>
        </is>
      </c>
    </row>
    <row r="5" ht="30" customHeight="1">
      <c r="A5" s="31" t="inlineStr">
        <is>
          <t>Acceso a hosting y dominio (lutsa.mx)</t>
        </is>
      </c>
      <c r="B5" s="31" t="inlineStr">
        <is>
          <t>Publicar el sitio y el API</t>
        </is>
      </c>
      <c r="C5" s="32" t="inlineStr">
        <is>
          <t>Pendiente</t>
        </is>
      </c>
      <c r="D5" s="31" t="inlineStr"/>
    </row>
    <row r="6" ht="30" customHeight="1">
      <c r="A6" s="31" t="inlineStr">
        <is>
          <t>Textos e información de servicios en español</t>
        </is>
      </c>
      <c r="B6" s="31" t="inlineStr">
        <is>
          <t>Validar Servicios, Inicio y Nosotros</t>
        </is>
      </c>
      <c r="C6" s="32" t="inlineStr">
        <is>
          <t>Parcial</t>
        </is>
      </c>
      <c r="D6" s="31" t="inlineStr">
        <is>
          <t>Se usaron los textos de los bocetos.</t>
        </is>
      </c>
    </row>
    <row r="7" ht="30" customHeight="1">
      <c r="A7" s="31" t="inlineStr">
        <is>
          <t>Fotos de camiones y operaciones</t>
        </is>
      </c>
      <c r="B7" s="31" t="inlineStr">
        <is>
          <t>Secciones con fotografía</t>
        </is>
      </c>
      <c r="C7" s="32" t="inlineStr">
        <is>
          <t>Recibido</t>
        </is>
      </c>
      <c r="D7" s="31" t="inlineStr">
        <is>
          <t>Incluidas en los bocetos.</t>
        </is>
      </c>
    </row>
    <row r="8" ht="30" customHeight="1">
      <c r="A8" s="31" t="inlineStr">
        <is>
          <t>Flyers o banners con identidad de marca</t>
        </is>
      </c>
      <c r="B8" s="31" t="inlineStr">
        <is>
          <t>Material gráfico adicional</t>
        </is>
      </c>
      <c r="C8" s="32" t="inlineStr">
        <is>
          <t>Por confirmar</t>
        </is>
      </c>
      <c r="D8" s="31" t="inlineStr"/>
    </row>
    <row r="9" ht="30" customHeight="1">
      <c r="A9" s="31" t="inlineStr">
        <is>
          <t>Logos de marcas secundarias (archivo independiente)</t>
        </is>
      </c>
      <c r="B9" s="31" t="inlineStr">
        <is>
          <t>Sección Submarcas / Brands</t>
        </is>
      </c>
      <c r="C9" s="32" t="inlineStr">
        <is>
          <t>Pendiente</t>
        </is>
      </c>
      <c r="D9" s="31" t="inlineStr"/>
    </row>
    <row r="10" ht="30" customHeight="1">
      <c r="A10" s="31" t="inlineStr">
        <is>
          <t>Lineamientos de marca / branding</t>
        </is>
      </c>
      <c r="B10" s="31" t="inlineStr">
        <is>
          <t>Consistencia visual</t>
        </is>
      </c>
      <c r="C10" s="32" t="inlineStr">
        <is>
          <t>Por confirmar</t>
        </is>
      </c>
      <c r="D10" s="31" t="inlineStr"/>
    </row>
    <row r="11" ht="30" customHeight="1">
      <c r="A11" s="31" t="inlineStr">
        <is>
          <t>Número de WhatsApp oficial y mensajes en ambos idiomas</t>
        </is>
      </c>
      <c r="B11" s="31" t="inlineStr">
        <is>
          <t>Botón flotante de WhatsApp</t>
        </is>
      </c>
      <c r="C11" s="32" t="inlineStr">
        <is>
          <t>Pendiente</t>
        </is>
      </c>
      <c r="D11" s="31" t="inlineStr"/>
    </row>
    <row r="12" ht="30" customHeight="1">
      <c r="A12" s="31" t="inlineStr">
        <is>
          <t>Fotos y material para la Galería</t>
        </is>
      </c>
      <c r="B12" s="31" t="inlineStr">
        <is>
          <t>Sección Galería (50 km)</t>
        </is>
      </c>
      <c r="C12" s="32" t="inlineStr">
        <is>
          <t>Pendiente</t>
        </is>
      </c>
      <c r="D12" s="31" t="inlineStr">
        <is>
          <t>Reemplaza a Responsabilidad Social / ESR.</t>
        </is>
      </c>
    </row>
    <row r="13" ht="30" customHeight="1">
      <c r="A13" s="31" t="inlineStr">
        <is>
          <t>Certificaciones (logos / documentos)</t>
        </is>
      </c>
      <c r="B13" s="31" t="inlineStr">
        <is>
          <t>Sección Certificaciones</t>
        </is>
      </c>
      <c r="C13" s="32" t="inlineStr">
        <is>
          <t>Recibido</t>
        </is>
      </c>
      <c r="D13" s="31" t="inlineStr">
        <is>
          <t>Logos ISO 9001, ESR y Hecho en México y foto de responsabilidad social. Falta confirmar textos oficiales.</t>
        </is>
      </c>
    </row>
    <row r="14" ht="30" customHeight="1">
      <c r="A14" s="31" t="inlineStr">
        <is>
          <t>Cuenta de correo para envío (SMTP) y destinatarios</t>
        </is>
      </c>
      <c r="B14" s="31" t="inlineStr">
        <is>
          <t>Envío de cotizaciones por correo</t>
        </is>
      </c>
      <c r="C14" s="32" t="inlineStr">
        <is>
          <t>Pendiente</t>
        </is>
      </c>
      <c r="D14" s="31" t="inlineStr">
        <is>
          <t>Hoy llegan a rrrosario16@gmail.com para pruebas.</t>
        </is>
      </c>
    </row>
    <row r="15" ht="30" customHeight="1">
      <c r="A15" s="31" t="inlineStr">
        <is>
          <t>Claves de Google reCAPTCHA para lutsa.mx</t>
        </is>
      </c>
      <c r="B15" s="31" t="inlineStr">
        <is>
          <t>Protección anti-spam en producción</t>
        </is>
      </c>
      <c r="C15" s="32" t="inlineStr">
        <is>
          <t>Pendiente</t>
        </is>
      </c>
      <c r="D15" s="31" t="inlineStr"/>
    </row>
  </sheetData>
  <mergeCells count="2">
    <mergeCell ref="A1:D1"/>
    <mergeCell ref="A2:D2"/>
  </mergeCells>
  <conditionalFormatting sqref="C5:C15">
    <cfRule type="expression" priority="1" dxfId="4">
      <formula>$C5="Recibido"</formula>
    </cfRule>
    <cfRule type="expression" priority="2" dxfId="5">
      <formula>$C5="Parcial"</formula>
    </cfRule>
    <cfRule type="expression" priority="3" dxfId="7">
      <formula>$C5="Pendiente"</formula>
    </cfRule>
    <cfRule type="expression" priority="4" dxfId="8">
      <formula>$C5="Por confirmar"</formula>
    </cfRule>
  </conditionalFormatting>
  <dataValidations count="1">
    <dataValidation sqref="C5:C15" showErrorMessage="1" showInputMessage="1" allowBlank="0" type="list">
      <formula1>"Recibido,Parcial,Pendiente,Por confirmar"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1874"/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Cómo actualizar este backlog</t>
        </is>
      </c>
    </row>
    <row r="2" ht="20" customHeight="1">
      <c r="A2" s="2" t="inlineStr">
        <is>
          <t>Todo se recalcula solo</t>
        </is>
      </c>
    </row>
    <row r="4" ht="32" customHeight="1">
      <c r="A4" s="17" t="inlineStr">
        <is>
          <t>1. En «Product Backlog» cambia la columna «Avance %» (de 0 % a 100 %). Las barras, el estado y el resumen se actualizan solos.</t>
        </is>
      </c>
    </row>
    <row r="5" ht="32" customHeight="1">
      <c r="A5" s="17" t="inlineStr">
        <is>
          <t>2. Colores: azul = frío (falta mucho) · naranja = caliente (ya casi está). El estado cambia a Pendiente / En progreso / Casi listo / Completado.</t>
        </is>
      </c>
    </row>
    <row r="6" ht="32" customHeight="1">
      <c r="A6" s="17" t="inlineStr">
        <is>
          <t>3. «Peso» permite dar más importancia a una actividad en el promedio (por defecto todas pesan 1).</t>
        </is>
      </c>
    </row>
    <row r="7" ht="32" customHeight="1">
      <c r="A7" s="17" t="inlineStr">
        <is>
          <t>4. Para agregar actividades, inserta filas DENTRO de la tabla (antes de la última) para que entren en los cálculos, y copia las fórmulas de «Progreso» y «Estado».</t>
        </is>
      </c>
    </row>
    <row r="8" ht="32" customHeight="1">
      <c r="A8" s="17" t="inlineStr">
        <is>
          <t>5. En «Materiales LUTSA» elige el estado de cada material desde la lista.</t>
        </is>
      </c>
    </row>
    <row r="9" ht="32" customHeight="1">
      <c r="A9" s="17" t="inlineStr">
        <is>
          <t>6. La hoja «Resumen» tiene la gráfica por área lista para presentar (naranja = hecho, azul = falta).</t>
        </is>
      </c>
    </row>
  </sheetData>
  <mergeCells count="2">
    <mergeCell ref="A1"/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2026-10-19T11:46:32Z</dcterms:created>
  <dcterms:modified xsi:type="dcterms:W3CDTF">2026-10-19T11:46:32Z</dcterms:modified>
</cp:coreProperties>
</file>